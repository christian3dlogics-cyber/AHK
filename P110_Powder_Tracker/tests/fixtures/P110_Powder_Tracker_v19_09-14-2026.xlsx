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X:\CUSTOMERS\01 - Build Files\2026\"/>
    </mc:Choice>
  </mc:AlternateContent>
  <xr:revisionPtr revIDLastSave="0" documentId="13_ncr:1_{BD275092-561B-411E-904A-454E8FA20117}" xr6:coauthVersionLast="47" xr6:coauthVersionMax="47" xr10:uidLastSave="{00000000-0000-0000-0000-000000000000}"/>
  <bookViews>
    <workbookView xWindow="-108" yWindow="-108" windowWidth="30936" windowHeight="16932" tabRatio="500" activeTab="2" xr2:uid="{00000000-000D-0000-FFFF-FFFF00000000}"/>
  </bookViews>
  <sheets>
    <sheet name="Old P110" sheetId="1" r:id="rId1"/>
    <sheet name="New P110" sheetId="2" r:id="rId2"/>
    <sheet name="Bucket Status" sheetId="3" r:id="rId3"/>
    <sheet name="Machine Dashboard" sheetId="4" r:id="rId4"/>
    <sheet name="Sett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B15" i="4"/>
  <c r="B6" i="4"/>
  <c r="B5" i="4"/>
  <c r="H75" i="3"/>
  <c r="F75" i="3"/>
  <c r="E75" i="3"/>
  <c r="H74" i="3"/>
  <c r="F74" i="3"/>
  <c r="E74" i="3"/>
  <c r="H73" i="3"/>
  <c r="F73" i="3"/>
  <c r="E73" i="3"/>
  <c r="H72" i="3"/>
  <c r="F72" i="3"/>
  <c r="E72" i="3"/>
  <c r="H71" i="3"/>
  <c r="F71" i="3"/>
  <c r="E71" i="3"/>
  <c r="H70" i="3"/>
  <c r="F70" i="3"/>
  <c r="E70" i="3"/>
  <c r="H69" i="3"/>
  <c r="F69" i="3"/>
  <c r="E69" i="3"/>
  <c r="H68" i="3"/>
  <c r="F68" i="3"/>
  <c r="E68" i="3"/>
  <c r="H67" i="3"/>
  <c r="F67" i="3"/>
  <c r="E67" i="3"/>
  <c r="H66" i="3"/>
  <c r="F66" i="3"/>
  <c r="E66" i="3"/>
  <c r="H65" i="3"/>
  <c r="F65" i="3"/>
  <c r="E65" i="3"/>
  <c r="H64" i="3"/>
  <c r="F64" i="3"/>
  <c r="E64" i="3"/>
  <c r="H63" i="3"/>
  <c r="F63" i="3"/>
  <c r="E63" i="3"/>
  <c r="H62" i="3"/>
  <c r="F62" i="3"/>
  <c r="E62" i="3"/>
  <c r="H61" i="3"/>
  <c r="F61" i="3"/>
  <c r="E61" i="3"/>
  <c r="H60" i="3"/>
  <c r="F60" i="3"/>
  <c r="E60" i="3"/>
  <c r="H59" i="3"/>
  <c r="F59" i="3"/>
  <c r="E59" i="3"/>
  <c r="H58" i="3"/>
  <c r="F58" i="3"/>
  <c r="E58" i="3"/>
  <c r="H57" i="3"/>
  <c r="F57" i="3"/>
  <c r="E57" i="3"/>
  <c r="H56" i="3"/>
  <c r="F56" i="3"/>
  <c r="E56" i="3"/>
  <c r="H55" i="3"/>
  <c r="F55" i="3"/>
  <c r="E55" i="3"/>
  <c r="H54" i="3"/>
  <c r="F54" i="3"/>
  <c r="E54" i="3"/>
  <c r="H53" i="3"/>
  <c r="F53" i="3"/>
  <c r="E53" i="3"/>
  <c r="H52" i="3"/>
  <c r="F52" i="3"/>
  <c r="E52" i="3"/>
  <c r="H51" i="3"/>
  <c r="F51" i="3"/>
  <c r="E51" i="3"/>
  <c r="H50" i="3"/>
  <c r="F50" i="3"/>
  <c r="E50" i="3"/>
  <c r="H49" i="3"/>
  <c r="F49" i="3"/>
  <c r="E49" i="3"/>
  <c r="H48" i="3"/>
  <c r="F48" i="3"/>
  <c r="E48" i="3"/>
  <c r="H47" i="3"/>
  <c r="F47" i="3"/>
  <c r="E47" i="3"/>
  <c r="H46" i="3"/>
  <c r="F46" i="3"/>
  <c r="E46" i="3"/>
  <c r="H45" i="3"/>
  <c r="F45" i="3"/>
  <c r="E45" i="3"/>
  <c r="H44" i="3"/>
  <c r="F44" i="3"/>
  <c r="E44" i="3"/>
  <c r="H43" i="3"/>
  <c r="F43" i="3"/>
  <c r="E43" i="3"/>
  <c r="H42" i="3"/>
  <c r="F42" i="3"/>
  <c r="E42" i="3"/>
  <c r="H41" i="3"/>
  <c r="F41" i="3"/>
  <c r="E41" i="3"/>
  <c r="H40" i="3"/>
  <c r="F40" i="3"/>
  <c r="E40" i="3"/>
  <c r="H39" i="3"/>
  <c r="F39" i="3"/>
  <c r="E39" i="3"/>
  <c r="H38" i="3"/>
  <c r="F38" i="3"/>
  <c r="E38" i="3"/>
  <c r="H37" i="3"/>
  <c r="F37" i="3"/>
  <c r="E37" i="3"/>
  <c r="H36" i="3"/>
  <c r="F36" i="3"/>
  <c r="E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05" i="2"/>
  <c r="AG104" i="2"/>
  <c r="T104" i="2"/>
  <c r="S104" i="2"/>
  <c r="R104" i="2"/>
  <c r="Q104" i="2"/>
  <c r="I104" i="2"/>
  <c r="AK104" i="2" s="1"/>
  <c r="AG103" i="2"/>
  <c r="T103" i="2"/>
  <c r="S103" i="2"/>
  <c r="R103" i="2"/>
  <c r="Q103" i="2"/>
  <c r="I103" i="2"/>
  <c r="AE103" i="2" s="1"/>
  <c r="AG102" i="2"/>
  <c r="T102" i="2"/>
  <c r="S102" i="2"/>
  <c r="R102" i="2"/>
  <c r="Q102" i="2"/>
  <c r="I102" i="2"/>
  <c r="AL102" i="2" s="1"/>
  <c r="AG101" i="2"/>
  <c r="T101" i="2"/>
  <c r="S101" i="2"/>
  <c r="R101" i="2"/>
  <c r="Q101" i="2"/>
  <c r="I101" i="2"/>
  <c r="AE101" i="2" s="1"/>
  <c r="AK100" i="2"/>
  <c r="AG100" i="2"/>
  <c r="T100" i="2"/>
  <c r="S100" i="2"/>
  <c r="R100" i="2"/>
  <c r="Q100" i="2"/>
  <c r="I100" i="2"/>
  <c r="AG99" i="2"/>
  <c r="T99" i="2"/>
  <c r="S99" i="2"/>
  <c r="R99" i="2"/>
  <c r="Q99" i="2"/>
  <c r="I99" i="2"/>
  <c r="AG98" i="2"/>
  <c r="T98" i="2"/>
  <c r="S98" i="2"/>
  <c r="R98" i="2"/>
  <c r="Q98" i="2"/>
  <c r="I98" i="2"/>
  <c r="AK98" i="2" s="1"/>
  <c r="AG97" i="2"/>
  <c r="T97" i="2"/>
  <c r="S97" i="2"/>
  <c r="R97" i="2"/>
  <c r="Q97" i="2"/>
  <c r="I97" i="2"/>
  <c r="AK97" i="2" s="1"/>
  <c r="AG96" i="2"/>
  <c r="T96" i="2"/>
  <c r="S96" i="2"/>
  <c r="R96" i="2"/>
  <c r="Q96" i="2"/>
  <c r="I96" i="2"/>
  <c r="AL96" i="2" s="1"/>
  <c r="AG95" i="2"/>
  <c r="T95" i="2"/>
  <c r="S95" i="2"/>
  <c r="R95" i="2"/>
  <c r="Q95" i="2"/>
  <c r="I95" i="2"/>
  <c r="AE95" i="2" s="1"/>
  <c r="AG94" i="2"/>
  <c r="AE94" i="2"/>
  <c r="T94" i="2"/>
  <c r="S94" i="2"/>
  <c r="R94" i="2"/>
  <c r="Q94" i="2"/>
  <c r="I94" i="2"/>
  <c r="AL94" i="2" s="1"/>
  <c r="AG93" i="2"/>
  <c r="T93" i="2"/>
  <c r="S93" i="2"/>
  <c r="R93" i="2"/>
  <c r="Q93" i="2"/>
  <c r="I93" i="2"/>
  <c r="AE93" i="2" s="1"/>
  <c r="AG92" i="2"/>
  <c r="T92" i="2"/>
  <c r="S92" i="2"/>
  <c r="R92" i="2"/>
  <c r="Q92" i="2"/>
  <c r="I92" i="2"/>
  <c r="AK92" i="2" s="1"/>
  <c r="AG91" i="2"/>
  <c r="T91" i="2"/>
  <c r="S91" i="2"/>
  <c r="R91" i="2"/>
  <c r="Q91" i="2"/>
  <c r="I91" i="2"/>
  <c r="AE91" i="2" s="1"/>
  <c r="AG90" i="2"/>
  <c r="T90" i="2"/>
  <c r="S90" i="2"/>
  <c r="R90" i="2"/>
  <c r="Q90" i="2"/>
  <c r="I90" i="2"/>
  <c r="AL90" i="2" s="1"/>
  <c r="AG89" i="2"/>
  <c r="T89" i="2"/>
  <c r="S89" i="2"/>
  <c r="R89" i="2"/>
  <c r="Q89" i="2"/>
  <c r="I89" i="2"/>
  <c r="AL89" i="2" s="1"/>
  <c r="AG88" i="2"/>
  <c r="T88" i="2"/>
  <c r="S88" i="2"/>
  <c r="R88" i="2"/>
  <c r="Q88" i="2"/>
  <c r="I88" i="2"/>
  <c r="AK88" i="2" s="1"/>
  <c r="AG87" i="2"/>
  <c r="T87" i="2"/>
  <c r="S87" i="2"/>
  <c r="R87" i="2"/>
  <c r="Q87" i="2"/>
  <c r="I87" i="2"/>
  <c r="AE87" i="2" s="1"/>
  <c r="AG86" i="2"/>
  <c r="T86" i="2"/>
  <c r="S86" i="2"/>
  <c r="R86" i="2"/>
  <c r="Q86" i="2"/>
  <c r="I86" i="2"/>
  <c r="AL86" i="2" s="1"/>
  <c r="AG85" i="2"/>
  <c r="T85" i="2"/>
  <c r="S85" i="2"/>
  <c r="R85" i="2"/>
  <c r="Q85" i="2"/>
  <c r="I85" i="2"/>
  <c r="AE85" i="2" s="1"/>
  <c r="AG84" i="2"/>
  <c r="T84" i="2"/>
  <c r="S84" i="2"/>
  <c r="R84" i="2"/>
  <c r="Q84" i="2"/>
  <c r="I84" i="2"/>
  <c r="AK84" i="2" s="1"/>
  <c r="AG83" i="2"/>
  <c r="T83" i="2"/>
  <c r="S83" i="2"/>
  <c r="R83" i="2"/>
  <c r="Q83" i="2"/>
  <c r="I83" i="2"/>
  <c r="AL83" i="2" s="1"/>
  <c r="AG82" i="2"/>
  <c r="T82" i="2"/>
  <c r="S82" i="2"/>
  <c r="R82" i="2"/>
  <c r="Q82" i="2"/>
  <c r="I82" i="2"/>
  <c r="AL82" i="2" s="1"/>
  <c r="AG81" i="2"/>
  <c r="T81" i="2"/>
  <c r="S81" i="2"/>
  <c r="R81" i="2"/>
  <c r="Q81" i="2"/>
  <c r="I81" i="2"/>
  <c r="AA81" i="2" s="1"/>
  <c r="AG80" i="2"/>
  <c r="T80" i="2"/>
  <c r="S80" i="2"/>
  <c r="R80" i="2"/>
  <c r="Q80" i="2"/>
  <c r="I80" i="2"/>
  <c r="AL80" i="2" s="1"/>
  <c r="AG79" i="2"/>
  <c r="T79" i="2"/>
  <c r="S79" i="2"/>
  <c r="R79" i="2"/>
  <c r="Q79" i="2"/>
  <c r="I79" i="2"/>
  <c r="AE79" i="2" s="1"/>
  <c r="AG78" i="2"/>
  <c r="T78" i="2"/>
  <c r="S78" i="2"/>
  <c r="R78" i="2"/>
  <c r="Q78" i="2"/>
  <c r="I78" i="2"/>
  <c r="AL78" i="2" s="1"/>
  <c r="AG77" i="2"/>
  <c r="T77" i="2"/>
  <c r="S77" i="2"/>
  <c r="R77" i="2"/>
  <c r="Q77" i="2"/>
  <c r="I77" i="2"/>
  <c r="AK77" i="2" s="1"/>
  <c r="AG76" i="2"/>
  <c r="T76" i="2"/>
  <c r="S76" i="2"/>
  <c r="R76" i="2"/>
  <c r="Q76" i="2"/>
  <c r="I76" i="2"/>
  <c r="AE76" i="2" s="1"/>
  <c r="AG75" i="2"/>
  <c r="T75" i="2"/>
  <c r="S75" i="2"/>
  <c r="R75" i="2"/>
  <c r="Q75" i="2"/>
  <c r="I75" i="2"/>
  <c r="AG74" i="2"/>
  <c r="T74" i="2"/>
  <c r="S74" i="2"/>
  <c r="R74" i="2"/>
  <c r="Q74" i="2"/>
  <c r="I74" i="2"/>
  <c r="AG73" i="2"/>
  <c r="T73" i="2"/>
  <c r="S73" i="2"/>
  <c r="R73" i="2"/>
  <c r="Q73" i="2"/>
  <c r="I73" i="2"/>
  <c r="AL73" i="2" s="1"/>
  <c r="AG72" i="2"/>
  <c r="T72" i="2"/>
  <c r="S72" i="2"/>
  <c r="R72" i="2"/>
  <c r="Q72" i="2"/>
  <c r="I72" i="2"/>
  <c r="AG71" i="2"/>
  <c r="T71" i="2"/>
  <c r="S71" i="2"/>
  <c r="R71" i="2"/>
  <c r="Q71" i="2"/>
  <c r="I71" i="2"/>
  <c r="AK71" i="2" s="1"/>
  <c r="AG70" i="2"/>
  <c r="T70" i="2"/>
  <c r="S70" i="2"/>
  <c r="R70" i="2"/>
  <c r="Q70" i="2"/>
  <c r="I70" i="2"/>
  <c r="AL70" i="2" s="1"/>
  <c r="AG69" i="2"/>
  <c r="T69" i="2"/>
  <c r="S69" i="2"/>
  <c r="R69" i="2"/>
  <c r="Q69" i="2"/>
  <c r="I69" i="2"/>
  <c r="AA69" i="2" s="1"/>
  <c r="AG68" i="2"/>
  <c r="T68" i="2"/>
  <c r="S68" i="2"/>
  <c r="R68" i="2"/>
  <c r="Q68" i="2"/>
  <c r="I68" i="2"/>
  <c r="AA68" i="2" s="1"/>
  <c r="AG67" i="2"/>
  <c r="T67" i="2"/>
  <c r="S67" i="2"/>
  <c r="R67" i="2"/>
  <c r="Q67" i="2"/>
  <c r="I67" i="2"/>
  <c r="AG66" i="2"/>
  <c r="T66" i="2"/>
  <c r="S66" i="2"/>
  <c r="R66" i="2"/>
  <c r="Q66" i="2"/>
  <c r="I66" i="2"/>
  <c r="AG65" i="2"/>
  <c r="AA65" i="2"/>
  <c r="T65" i="2"/>
  <c r="S65" i="2"/>
  <c r="R65" i="2"/>
  <c r="Q65" i="2"/>
  <c r="I65" i="2"/>
  <c r="AL65" i="2" s="1"/>
  <c r="AG64" i="2"/>
  <c r="T64" i="2"/>
  <c r="S64" i="2"/>
  <c r="R64" i="2"/>
  <c r="Q64" i="2"/>
  <c r="I64" i="2"/>
  <c r="AA64" i="2" s="1"/>
  <c r="AG63" i="2"/>
  <c r="T63" i="2"/>
  <c r="S63" i="2"/>
  <c r="R63" i="2"/>
  <c r="Q63" i="2"/>
  <c r="I63" i="2"/>
  <c r="AE63" i="2" s="1"/>
  <c r="AG62" i="2"/>
  <c r="T62" i="2"/>
  <c r="S62" i="2"/>
  <c r="R62" i="2"/>
  <c r="Q62" i="2"/>
  <c r="I62" i="2"/>
  <c r="AL62" i="2" s="1"/>
  <c r="AG61" i="2"/>
  <c r="T61" i="2"/>
  <c r="S61" i="2"/>
  <c r="R61" i="2"/>
  <c r="Q61" i="2"/>
  <c r="I61" i="2"/>
  <c r="AE61" i="2" s="1"/>
  <c r="AG60" i="2"/>
  <c r="T60" i="2"/>
  <c r="S60" i="2"/>
  <c r="R60" i="2"/>
  <c r="Q60" i="2"/>
  <c r="I60" i="2"/>
  <c r="AG59" i="2"/>
  <c r="T59" i="2"/>
  <c r="S59" i="2"/>
  <c r="R59" i="2"/>
  <c r="Q59" i="2"/>
  <c r="I59" i="2"/>
  <c r="AA59" i="2" s="1"/>
  <c r="AG58" i="2"/>
  <c r="T58" i="2"/>
  <c r="S58" i="2"/>
  <c r="R58" i="2"/>
  <c r="Q58" i="2"/>
  <c r="I58" i="2"/>
  <c r="AG57" i="2"/>
  <c r="T57" i="2"/>
  <c r="S57" i="2"/>
  <c r="R57" i="2"/>
  <c r="Q57" i="2"/>
  <c r="I57" i="2"/>
  <c r="AL57" i="2" s="1"/>
  <c r="AG56" i="2"/>
  <c r="T56" i="2"/>
  <c r="S56" i="2"/>
  <c r="R56" i="2"/>
  <c r="Q56" i="2"/>
  <c r="I56" i="2"/>
  <c r="AL56" i="2" s="1"/>
  <c r="AG55" i="2"/>
  <c r="T55" i="2"/>
  <c r="S55" i="2"/>
  <c r="R55" i="2"/>
  <c r="Q55" i="2"/>
  <c r="I55" i="2"/>
  <c r="AG54" i="2"/>
  <c r="T54" i="2"/>
  <c r="S54" i="2"/>
  <c r="R54" i="2"/>
  <c r="Q54" i="2"/>
  <c r="I54" i="2"/>
  <c r="AE54" i="2" s="1"/>
  <c r="AG53" i="2"/>
  <c r="T53" i="2"/>
  <c r="S53" i="2"/>
  <c r="R53" i="2"/>
  <c r="Q53" i="2"/>
  <c r="I53" i="2"/>
  <c r="AK53" i="2" s="1"/>
  <c r="AG52" i="2"/>
  <c r="T52" i="2"/>
  <c r="S52" i="2"/>
  <c r="R52" i="2"/>
  <c r="Q52" i="2"/>
  <c r="I52" i="2"/>
  <c r="AG51" i="2"/>
  <c r="T51" i="2"/>
  <c r="S51" i="2"/>
  <c r="R51" i="2"/>
  <c r="Q51" i="2"/>
  <c r="I51" i="2"/>
  <c r="AA51" i="2" s="1"/>
  <c r="AG50" i="2"/>
  <c r="T50" i="2"/>
  <c r="S50" i="2"/>
  <c r="R50" i="2"/>
  <c r="Q50" i="2"/>
  <c r="I50" i="2"/>
  <c r="AG49" i="2"/>
  <c r="T49" i="2"/>
  <c r="S49" i="2"/>
  <c r="R49" i="2"/>
  <c r="Q49" i="2"/>
  <c r="I49" i="2"/>
  <c r="AA49" i="2" s="1"/>
  <c r="AG48" i="2"/>
  <c r="T48" i="2"/>
  <c r="S48" i="2"/>
  <c r="R48" i="2"/>
  <c r="Q48" i="2"/>
  <c r="I48" i="2"/>
  <c r="AL48" i="2" s="1"/>
  <c r="AG47" i="2"/>
  <c r="T47" i="2"/>
  <c r="S47" i="2"/>
  <c r="R47" i="2"/>
  <c r="Q47" i="2"/>
  <c r="I47" i="2"/>
  <c r="AK47" i="2" s="1"/>
  <c r="AG46" i="2"/>
  <c r="T46" i="2"/>
  <c r="S46" i="2"/>
  <c r="R46" i="2"/>
  <c r="Q46" i="2"/>
  <c r="I46" i="2"/>
  <c r="AE46" i="2" s="1"/>
  <c r="AG45" i="2"/>
  <c r="AA45" i="2"/>
  <c r="T45" i="2"/>
  <c r="S45" i="2"/>
  <c r="R45" i="2"/>
  <c r="Q45" i="2"/>
  <c r="I45" i="2"/>
  <c r="AK45" i="2" s="1"/>
  <c r="AG44" i="2"/>
  <c r="T44" i="2"/>
  <c r="S44" i="2"/>
  <c r="R44" i="2"/>
  <c r="Q44" i="2"/>
  <c r="I44" i="2"/>
  <c r="AA44" i="2" s="1"/>
  <c r="AG43" i="2"/>
  <c r="T43" i="2"/>
  <c r="S43" i="2"/>
  <c r="R43" i="2"/>
  <c r="Q43" i="2"/>
  <c r="I43" i="2"/>
  <c r="AA43" i="2" s="1"/>
  <c r="AG42" i="2"/>
  <c r="T42" i="2"/>
  <c r="S42" i="2"/>
  <c r="R42" i="2"/>
  <c r="Q42" i="2"/>
  <c r="I42" i="2"/>
  <c r="AK42" i="2" s="1"/>
  <c r="AG41" i="2"/>
  <c r="T41" i="2"/>
  <c r="S41" i="2"/>
  <c r="R41" i="2"/>
  <c r="Q41" i="2"/>
  <c r="I41" i="2"/>
  <c r="AE41" i="2" s="1"/>
  <c r="AG40" i="2"/>
  <c r="T40" i="2"/>
  <c r="S40" i="2"/>
  <c r="R40" i="2"/>
  <c r="Q40" i="2"/>
  <c r="I40" i="2"/>
  <c r="AK40" i="2" s="1"/>
  <c r="AG39" i="2"/>
  <c r="T39" i="2"/>
  <c r="S39" i="2"/>
  <c r="R39" i="2"/>
  <c r="Q39" i="2"/>
  <c r="I39" i="2"/>
  <c r="AL39" i="2" s="1"/>
  <c r="AG38" i="2"/>
  <c r="T38" i="2"/>
  <c r="S38" i="2"/>
  <c r="R38" i="2"/>
  <c r="Q38" i="2"/>
  <c r="I38" i="2"/>
  <c r="AE38" i="2" s="1"/>
  <c r="AG37" i="2"/>
  <c r="T37" i="2"/>
  <c r="S37" i="2"/>
  <c r="R37" i="2"/>
  <c r="Q37" i="2"/>
  <c r="I37" i="2"/>
  <c r="AA37" i="2" s="1"/>
  <c r="AG36" i="2"/>
  <c r="T36" i="2"/>
  <c r="S36" i="2"/>
  <c r="R36" i="2"/>
  <c r="Q36" i="2"/>
  <c r="I36" i="2"/>
  <c r="AK36" i="2" s="1"/>
  <c r="AG35" i="2"/>
  <c r="T35" i="2"/>
  <c r="S35" i="2"/>
  <c r="R35" i="2"/>
  <c r="Q35" i="2"/>
  <c r="I35" i="2"/>
  <c r="AG34" i="2"/>
  <c r="T34" i="2"/>
  <c r="S34" i="2"/>
  <c r="R34" i="2"/>
  <c r="Q34" i="2"/>
  <c r="I34" i="2"/>
  <c r="AA34" i="2" s="1"/>
  <c r="AG33" i="2"/>
  <c r="T33" i="2"/>
  <c r="S33" i="2"/>
  <c r="R33" i="2"/>
  <c r="Q33" i="2"/>
  <c r="I33" i="2"/>
  <c r="AA33" i="2" s="1"/>
  <c r="AG32" i="2"/>
  <c r="T32" i="2"/>
  <c r="S32" i="2"/>
  <c r="R32" i="2"/>
  <c r="Q32" i="2"/>
  <c r="I32" i="2"/>
  <c r="AK32" i="2" s="1"/>
  <c r="AG31" i="2"/>
  <c r="T31" i="2"/>
  <c r="S31" i="2"/>
  <c r="R31" i="2"/>
  <c r="Q31" i="2"/>
  <c r="I31" i="2"/>
  <c r="AE31" i="2" s="1"/>
  <c r="AG30" i="2"/>
  <c r="T30" i="2"/>
  <c r="S30" i="2"/>
  <c r="R30" i="2"/>
  <c r="Q30" i="2"/>
  <c r="I30" i="2"/>
  <c r="AA30" i="2" s="1"/>
  <c r="AG29" i="2"/>
  <c r="T29" i="2"/>
  <c r="S29" i="2"/>
  <c r="R29" i="2"/>
  <c r="Q29" i="2"/>
  <c r="I29" i="2"/>
  <c r="AL29" i="2" s="1"/>
  <c r="AG28" i="2"/>
  <c r="T28" i="2"/>
  <c r="S28" i="2"/>
  <c r="R28" i="2"/>
  <c r="Q28" i="2"/>
  <c r="I28" i="2"/>
  <c r="AE28" i="2" s="1"/>
  <c r="AG27" i="2"/>
  <c r="T27" i="2"/>
  <c r="S27" i="2"/>
  <c r="R27" i="2"/>
  <c r="Q27" i="2"/>
  <c r="I27" i="2"/>
  <c r="AG26" i="2"/>
  <c r="T26" i="2"/>
  <c r="S26" i="2"/>
  <c r="R26" i="2"/>
  <c r="Q26" i="2"/>
  <c r="I26" i="2"/>
  <c r="AL26" i="2" s="1"/>
  <c r="AG25" i="2"/>
  <c r="T25" i="2"/>
  <c r="S25" i="2"/>
  <c r="R25" i="2"/>
  <c r="Q25" i="2"/>
  <c r="I25" i="2"/>
  <c r="AG24" i="2"/>
  <c r="T24" i="2"/>
  <c r="S24" i="2"/>
  <c r="R24" i="2"/>
  <c r="Q24" i="2"/>
  <c r="I24" i="2"/>
  <c r="AG23" i="2"/>
  <c r="T23" i="2"/>
  <c r="S23" i="2"/>
  <c r="R23" i="2"/>
  <c r="Q23" i="2"/>
  <c r="I23" i="2"/>
  <c r="AG22" i="2"/>
  <c r="T22" i="2"/>
  <c r="S22" i="2"/>
  <c r="R22" i="2"/>
  <c r="Q22" i="2"/>
  <c r="I22" i="2"/>
  <c r="AG21" i="2"/>
  <c r="T21" i="2"/>
  <c r="S21" i="2"/>
  <c r="R21" i="2"/>
  <c r="Q21" i="2"/>
  <c r="I21" i="2"/>
  <c r="AG20" i="2"/>
  <c r="T20" i="2"/>
  <c r="S20" i="2"/>
  <c r="R20" i="2"/>
  <c r="Q20" i="2"/>
  <c r="I20" i="2"/>
  <c r="AG19" i="2"/>
  <c r="T19" i="2"/>
  <c r="S19" i="2"/>
  <c r="R19" i="2"/>
  <c r="Q19" i="2"/>
  <c r="I19" i="2"/>
  <c r="AG18" i="2"/>
  <c r="T18" i="2"/>
  <c r="S18" i="2"/>
  <c r="R18" i="2"/>
  <c r="Q18" i="2"/>
  <c r="I18" i="2"/>
  <c r="AG17" i="2"/>
  <c r="T17" i="2"/>
  <c r="S17" i="2"/>
  <c r="R17" i="2"/>
  <c r="Q17" i="2"/>
  <c r="I17" i="2"/>
  <c r="AG16" i="2"/>
  <c r="T16" i="2"/>
  <c r="S16" i="2"/>
  <c r="R16" i="2"/>
  <c r="Q16" i="2"/>
  <c r="I16" i="2"/>
  <c r="AG15" i="2"/>
  <c r="T15" i="2"/>
  <c r="S15" i="2"/>
  <c r="R15" i="2"/>
  <c r="Q15" i="2"/>
  <c r="I15" i="2"/>
  <c r="AG14" i="2"/>
  <c r="T14" i="2"/>
  <c r="S14" i="2"/>
  <c r="R14" i="2"/>
  <c r="Q14" i="2"/>
  <c r="I14" i="2"/>
  <c r="AG13" i="2"/>
  <c r="T13" i="2"/>
  <c r="S13" i="2"/>
  <c r="R13" i="2"/>
  <c r="Q13" i="2"/>
  <c r="I13" i="2"/>
  <c r="AG12" i="2"/>
  <c r="T12" i="2"/>
  <c r="S12" i="2"/>
  <c r="R12" i="2"/>
  <c r="Q12" i="2"/>
  <c r="I12" i="2"/>
  <c r="AG11" i="2"/>
  <c r="I11" i="2" s="1"/>
  <c r="AG10" i="2"/>
  <c r="I10" i="2" s="1"/>
  <c r="T10" i="2"/>
  <c r="T11" i="2" s="1"/>
  <c r="S10" i="2"/>
  <c r="R10" i="2"/>
  <c r="R11" i="2" s="1"/>
  <c r="Q10" i="2"/>
  <c r="AG9" i="2"/>
  <c r="I9" i="2" s="1"/>
  <c r="AG8" i="2"/>
  <c r="T8" i="2"/>
  <c r="T9" i="2" s="1"/>
  <c r="S8" i="2"/>
  <c r="S9" i="2" s="1"/>
  <c r="I8" i="2"/>
  <c r="AG7" i="2"/>
  <c r="I7" i="2" s="1"/>
  <c r="AG6" i="2"/>
  <c r="I6" i="2" s="1"/>
  <c r="R6" i="2"/>
  <c r="R7" i="2" s="1"/>
  <c r="R8" i="2" s="1"/>
  <c r="Q6" i="2"/>
  <c r="AG5" i="2"/>
  <c r="I5" i="2" s="1"/>
  <c r="AD5" i="2"/>
  <c r="AC5" i="2"/>
  <c r="Z5" i="2"/>
  <c r="Y5" i="2"/>
  <c r="X5" i="2"/>
  <c r="W5" i="2"/>
  <c r="T5" i="2"/>
  <c r="T6" i="2" s="1"/>
  <c r="S5" i="2"/>
  <c r="S6" i="2" s="1"/>
  <c r="S7" i="2" s="1"/>
  <c r="R5" i="2"/>
  <c r="Q5" i="2"/>
  <c r="H105" i="1"/>
  <c r="AG104" i="1"/>
  <c r="T104" i="1"/>
  <c r="S104" i="1"/>
  <c r="R104" i="1"/>
  <c r="Q104" i="1"/>
  <c r="I104" i="1"/>
  <c r="AA104" i="1" s="1"/>
  <c r="AG103" i="1"/>
  <c r="T103" i="1"/>
  <c r="S103" i="1"/>
  <c r="R103" i="1"/>
  <c r="Q103" i="1"/>
  <c r="I103" i="1"/>
  <c r="AA103" i="1" s="1"/>
  <c r="AG102" i="1"/>
  <c r="T102" i="1"/>
  <c r="S102" i="1"/>
  <c r="R102" i="1"/>
  <c r="Q102" i="1"/>
  <c r="I102" i="1"/>
  <c r="AL102" i="1" s="1"/>
  <c r="AG101" i="1"/>
  <c r="T101" i="1"/>
  <c r="S101" i="1"/>
  <c r="R101" i="1"/>
  <c r="Q101" i="1"/>
  <c r="I101" i="1"/>
  <c r="AA101" i="1" s="1"/>
  <c r="AG100" i="1"/>
  <c r="T100" i="1"/>
  <c r="S100" i="1"/>
  <c r="R100" i="1"/>
  <c r="Q100" i="1"/>
  <c r="I100" i="1"/>
  <c r="AG99" i="1"/>
  <c r="T99" i="1"/>
  <c r="S99" i="1"/>
  <c r="R99" i="1"/>
  <c r="Q99" i="1"/>
  <c r="I99" i="1"/>
  <c r="AK99" i="1" s="1"/>
  <c r="AG98" i="1"/>
  <c r="T98" i="1"/>
  <c r="S98" i="1"/>
  <c r="R98" i="1"/>
  <c r="Q98" i="1"/>
  <c r="I98" i="1"/>
  <c r="AE98" i="1" s="1"/>
  <c r="AG97" i="1"/>
  <c r="T97" i="1"/>
  <c r="S97" i="1"/>
  <c r="R97" i="1"/>
  <c r="Q97" i="1"/>
  <c r="I97" i="1"/>
  <c r="AE97" i="1" s="1"/>
  <c r="AG96" i="1"/>
  <c r="T96" i="1"/>
  <c r="S96" i="1"/>
  <c r="R96" i="1"/>
  <c r="Q96" i="1"/>
  <c r="I96" i="1"/>
  <c r="AL96" i="1" s="1"/>
  <c r="AG95" i="1"/>
  <c r="T95" i="1"/>
  <c r="S95" i="1"/>
  <c r="R95" i="1"/>
  <c r="Q95" i="1"/>
  <c r="I95" i="1"/>
  <c r="AE95" i="1" s="1"/>
  <c r="AG94" i="1"/>
  <c r="T94" i="1"/>
  <c r="S94" i="1"/>
  <c r="R94" i="1"/>
  <c r="Q94" i="1"/>
  <c r="I94" i="1"/>
  <c r="AE94" i="1" s="1"/>
  <c r="AG93" i="1"/>
  <c r="T93" i="1"/>
  <c r="S93" i="1"/>
  <c r="R93" i="1"/>
  <c r="Q93" i="1"/>
  <c r="I93" i="1"/>
  <c r="AA93" i="1" s="1"/>
  <c r="AG92" i="1"/>
  <c r="T92" i="1"/>
  <c r="S92" i="1"/>
  <c r="R92" i="1"/>
  <c r="Q92" i="1"/>
  <c r="I92" i="1"/>
  <c r="AG91" i="1"/>
  <c r="T91" i="1"/>
  <c r="S91" i="1"/>
  <c r="R91" i="1"/>
  <c r="Q91" i="1"/>
  <c r="I91" i="1"/>
  <c r="AK91" i="1" s="1"/>
  <c r="AG90" i="1"/>
  <c r="T90" i="1"/>
  <c r="S90" i="1"/>
  <c r="R90" i="1"/>
  <c r="Q90" i="1"/>
  <c r="I90" i="1"/>
  <c r="AE90" i="1" s="1"/>
  <c r="AG89" i="1"/>
  <c r="T89" i="1"/>
  <c r="S89" i="1"/>
  <c r="R89" i="1"/>
  <c r="Q89" i="1"/>
  <c r="I89" i="1"/>
  <c r="AK89" i="1" s="1"/>
  <c r="AG88" i="1"/>
  <c r="T88" i="1"/>
  <c r="S88" i="1"/>
  <c r="R88" i="1"/>
  <c r="Q88" i="1"/>
  <c r="I88" i="1"/>
  <c r="AK88" i="1" s="1"/>
  <c r="AG87" i="1"/>
  <c r="T87" i="1"/>
  <c r="S87" i="1"/>
  <c r="R87" i="1"/>
  <c r="Q87" i="1"/>
  <c r="I87" i="1"/>
  <c r="AK87" i="1" s="1"/>
  <c r="AG86" i="1"/>
  <c r="AE86" i="1"/>
  <c r="T86" i="1"/>
  <c r="S86" i="1"/>
  <c r="R86" i="1"/>
  <c r="Q86" i="1"/>
  <c r="I86" i="1"/>
  <c r="AG85" i="1"/>
  <c r="T85" i="1"/>
  <c r="S85" i="1"/>
  <c r="R85" i="1"/>
  <c r="Q85" i="1"/>
  <c r="I85" i="1"/>
  <c r="AL85" i="1" s="1"/>
  <c r="AG84" i="1"/>
  <c r="T84" i="1"/>
  <c r="S84" i="1"/>
  <c r="R84" i="1"/>
  <c r="Q84" i="1"/>
  <c r="I84" i="1"/>
  <c r="AL84" i="1" s="1"/>
  <c r="AG83" i="1"/>
  <c r="T83" i="1"/>
  <c r="S83" i="1"/>
  <c r="R83" i="1"/>
  <c r="Q83" i="1"/>
  <c r="I83" i="1"/>
  <c r="AK83" i="1" s="1"/>
  <c r="AG82" i="1"/>
  <c r="T82" i="1"/>
  <c r="S82" i="1"/>
  <c r="R82" i="1"/>
  <c r="Q82" i="1"/>
  <c r="I82" i="1"/>
  <c r="AG81" i="1"/>
  <c r="T81" i="1"/>
  <c r="S81" i="1"/>
  <c r="R81" i="1"/>
  <c r="Q81" i="1"/>
  <c r="I81" i="1"/>
  <c r="AL81" i="1" s="1"/>
  <c r="AG80" i="1"/>
  <c r="T80" i="1"/>
  <c r="S80" i="1"/>
  <c r="R80" i="1"/>
  <c r="Q80" i="1"/>
  <c r="I80" i="1"/>
  <c r="AA80" i="1" s="1"/>
  <c r="AG79" i="1"/>
  <c r="T79" i="1"/>
  <c r="S79" i="1"/>
  <c r="R79" i="1"/>
  <c r="Q79" i="1"/>
  <c r="I79" i="1"/>
  <c r="AA79" i="1" s="1"/>
  <c r="AG78" i="1"/>
  <c r="T78" i="1"/>
  <c r="S78" i="1"/>
  <c r="R78" i="1"/>
  <c r="Q78" i="1"/>
  <c r="I78" i="1"/>
  <c r="AK78" i="1" s="1"/>
  <c r="AG77" i="1"/>
  <c r="T77" i="1"/>
  <c r="S77" i="1"/>
  <c r="R77" i="1"/>
  <c r="Q77" i="1"/>
  <c r="I77" i="1"/>
  <c r="AE77" i="1" s="1"/>
  <c r="AG76" i="1"/>
  <c r="T76" i="1"/>
  <c r="S76" i="1"/>
  <c r="R76" i="1"/>
  <c r="Q76" i="1"/>
  <c r="I76" i="1"/>
  <c r="AG75" i="1"/>
  <c r="T75" i="1"/>
  <c r="S75" i="1"/>
  <c r="R75" i="1"/>
  <c r="Q75" i="1"/>
  <c r="I75" i="1"/>
  <c r="AA75" i="1" s="1"/>
  <c r="AG74" i="1"/>
  <c r="T74" i="1"/>
  <c r="S74" i="1"/>
  <c r="R74" i="1"/>
  <c r="Q74" i="1"/>
  <c r="I74" i="1"/>
  <c r="AA74" i="1" s="1"/>
  <c r="AG73" i="1"/>
  <c r="T73" i="1"/>
  <c r="S73" i="1"/>
  <c r="R73" i="1"/>
  <c r="Q73" i="1"/>
  <c r="I73" i="1"/>
  <c r="AL73" i="1" s="1"/>
  <c r="AG72" i="1"/>
  <c r="T72" i="1"/>
  <c r="S72" i="1"/>
  <c r="R72" i="1"/>
  <c r="Q72" i="1"/>
  <c r="I72" i="1"/>
  <c r="AA72" i="1" s="1"/>
  <c r="AG71" i="1"/>
  <c r="T71" i="1"/>
  <c r="S71" i="1"/>
  <c r="R71" i="1"/>
  <c r="Q71" i="1"/>
  <c r="I71" i="1"/>
  <c r="AA71" i="1" s="1"/>
  <c r="AG70" i="1"/>
  <c r="T70" i="1"/>
  <c r="S70" i="1"/>
  <c r="R70" i="1"/>
  <c r="Q70" i="1"/>
  <c r="I70" i="1"/>
  <c r="AK70" i="1" s="1"/>
  <c r="AG69" i="1"/>
  <c r="T69" i="1"/>
  <c r="S69" i="1"/>
  <c r="R69" i="1"/>
  <c r="Q69" i="1"/>
  <c r="I69" i="1"/>
  <c r="AE69" i="1" s="1"/>
  <c r="AG68" i="1"/>
  <c r="T68" i="1"/>
  <c r="S68" i="1"/>
  <c r="R68" i="1"/>
  <c r="Q68" i="1"/>
  <c r="I68" i="1"/>
  <c r="AG67" i="1"/>
  <c r="T67" i="1"/>
  <c r="S67" i="1"/>
  <c r="R67" i="1"/>
  <c r="Q67" i="1"/>
  <c r="I67" i="1"/>
  <c r="AE67" i="1" s="1"/>
  <c r="AG66" i="1"/>
  <c r="T66" i="1"/>
  <c r="S66" i="1"/>
  <c r="R66" i="1"/>
  <c r="Q66" i="1"/>
  <c r="I66" i="1"/>
  <c r="AA66" i="1" s="1"/>
  <c r="AG65" i="1"/>
  <c r="T65" i="1"/>
  <c r="S65" i="1"/>
  <c r="R65" i="1"/>
  <c r="Q65" i="1"/>
  <c r="I65" i="1"/>
  <c r="AA65" i="1" s="1"/>
  <c r="AG64" i="1"/>
  <c r="T64" i="1"/>
  <c r="S64" i="1"/>
  <c r="R64" i="1"/>
  <c r="Q64" i="1"/>
  <c r="I64" i="1"/>
  <c r="AA64" i="1" s="1"/>
  <c r="AG63" i="1"/>
  <c r="T63" i="1"/>
  <c r="S63" i="1"/>
  <c r="R63" i="1"/>
  <c r="Q63" i="1"/>
  <c r="I63" i="1"/>
  <c r="AA63" i="1" s="1"/>
  <c r="AG62" i="1"/>
  <c r="T62" i="1"/>
  <c r="S62" i="1"/>
  <c r="R62" i="1"/>
  <c r="Q62" i="1"/>
  <c r="I62" i="1"/>
  <c r="AE62" i="1" s="1"/>
  <c r="AG61" i="1"/>
  <c r="T61" i="1"/>
  <c r="S61" i="1"/>
  <c r="R61" i="1"/>
  <c r="Q61" i="1"/>
  <c r="I61" i="1"/>
  <c r="AK61" i="1" s="1"/>
  <c r="AG60" i="1"/>
  <c r="T60" i="1"/>
  <c r="S60" i="1"/>
  <c r="R60" i="1"/>
  <c r="Q60" i="1"/>
  <c r="I60" i="1"/>
  <c r="AG59" i="1"/>
  <c r="T59" i="1"/>
  <c r="S59" i="1"/>
  <c r="R59" i="1"/>
  <c r="Q59" i="1"/>
  <c r="I59" i="1"/>
  <c r="AA59" i="1" s="1"/>
  <c r="AG58" i="1"/>
  <c r="T58" i="1"/>
  <c r="S58" i="1"/>
  <c r="R58" i="1"/>
  <c r="Q58" i="1"/>
  <c r="I58" i="1"/>
  <c r="AG57" i="1"/>
  <c r="T57" i="1"/>
  <c r="S57" i="1"/>
  <c r="R57" i="1"/>
  <c r="Q57" i="1"/>
  <c r="I57" i="1"/>
  <c r="AA57" i="1" s="1"/>
  <c r="AG56" i="1"/>
  <c r="T56" i="1"/>
  <c r="S56" i="1"/>
  <c r="R56" i="1"/>
  <c r="Q56" i="1"/>
  <c r="I56" i="1"/>
  <c r="AA56" i="1" s="1"/>
  <c r="AG55" i="1"/>
  <c r="T55" i="1"/>
  <c r="S55" i="1"/>
  <c r="R55" i="1"/>
  <c r="Q55" i="1"/>
  <c r="I55" i="1"/>
  <c r="AG54" i="1"/>
  <c r="T54" i="1"/>
  <c r="S54" i="1"/>
  <c r="R54" i="1"/>
  <c r="Q54" i="1"/>
  <c r="I54" i="1"/>
  <c r="AA54" i="1" s="1"/>
  <c r="AG53" i="1"/>
  <c r="T53" i="1"/>
  <c r="S53" i="1"/>
  <c r="R53" i="1"/>
  <c r="Q53" i="1"/>
  <c r="I53" i="1"/>
  <c r="AA53" i="1" s="1"/>
  <c r="AG52" i="1"/>
  <c r="T52" i="1"/>
  <c r="S52" i="1"/>
  <c r="R52" i="1"/>
  <c r="Q52" i="1"/>
  <c r="I52" i="1"/>
  <c r="AG51" i="1"/>
  <c r="T51" i="1"/>
  <c r="S51" i="1"/>
  <c r="R51" i="1"/>
  <c r="Q51" i="1"/>
  <c r="I51" i="1"/>
  <c r="AA51" i="1" s="1"/>
  <c r="AG50" i="1"/>
  <c r="T50" i="1"/>
  <c r="S50" i="1"/>
  <c r="R50" i="1"/>
  <c r="Q50" i="1"/>
  <c r="I50" i="1"/>
  <c r="AG49" i="1"/>
  <c r="T49" i="1"/>
  <c r="S49" i="1"/>
  <c r="R49" i="1"/>
  <c r="Q49" i="1"/>
  <c r="I49" i="1"/>
  <c r="AA49" i="1" s="1"/>
  <c r="AG48" i="1"/>
  <c r="T48" i="1"/>
  <c r="S48" i="1"/>
  <c r="R48" i="1"/>
  <c r="Q48" i="1"/>
  <c r="I48" i="1"/>
  <c r="AK48" i="1" s="1"/>
  <c r="AG47" i="1"/>
  <c r="T47" i="1"/>
  <c r="S47" i="1"/>
  <c r="R47" i="1"/>
  <c r="Q47" i="1"/>
  <c r="I47" i="1"/>
  <c r="AA47" i="1" s="1"/>
  <c r="AG46" i="1"/>
  <c r="T46" i="1"/>
  <c r="S46" i="1"/>
  <c r="R46" i="1"/>
  <c r="Q46" i="1"/>
  <c r="I46" i="1"/>
  <c r="AK46" i="1" s="1"/>
  <c r="AG45" i="1"/>
  <c r="T45" i="1"/>
  <c r="S45" i="1"/>
  <c r="R45" i="1"/>
  <c r="Q45" i="1"/>
  <c r="I45" i="1"/>
  <c r="AA45" i="1" s="1"/>
  <c r="AG44" i="1"/>
  <c r="T44" i="1"/>
  <c r="S44" i="1"/>
  <c r="R44" i="1"/>
  <c r="Q44" i="1"/>
  <c r="I44" i="1"/>
  <c r="AG43" i="1"/>
  <c r="T43" i="1"/>
  <c r="S43" i="1"/>
  <c r="R43" i="1"/>
  <c r="Q43" i="1"/>
  <c r="I43" i="1"/>
  <c r="AE43" i="1" s="1"/>
  <c r="AG42" i="1"/>
  <c r="T42" i="1"/>
  <c r="S42" i="1"/>
  <c r="R42" i="1"/>
  <c r="Q42" i="1"/>
  <c r="I42" i="1"/>
  <c r="AA42" i="1" s="1"/>
  <c r="AG41" i="1"/>
  <c r="T41" i="1"/>
  <c r="S41" i="1"/>
  <c r="R41" i="1"/>
  <c r="Q41" i="1"/>
  <c r="I41" i="1"/>
  <c r="AA41" i="1" s="1"/>
  <c r="AG40" i="1"/>
  <c r="T40" i="1"/>
  <c r="S40" i="1"/>
  <c r="R40" i="1"/>
  <c r="Q40" i="1"/>
  <c r="I40" i="1"/>
  <c r="AK40" i="1" s="1"/>
  <c r="AG39" i="1"/>
  <c r="T39" i="1"/>
  <c r="S39" i="1"/>
  <c r="R39" i="1"/>
  <c r="Q39" i="1"/>
  <c r="I39" i="1"/>
  <c r="AE39" i="1" s="1"/>
  <c r="AG38" i="1"/>
  <c r="T38" i="1"/>
  <c r="S38" i="1"/>
  <c r="R38" i="1"/>
  <c r="Q38" i="1"/>
  <c r="I38" i="1"/>
  <c r="AK38" i="1" s="1"/>
  <c r="AG37" i="1"/>
  <c r="T37" i="1"/>
  <c r="S37" i="1"/>
  <c r="R37" i="1"/>
  <c r="Q37" i="1"/>
  <c r="I37" i="1"/>
  <c r="AK37" i="1" s="1"/>
  <c r="AG36" i="1"/>
  <c r="T36" i="1"/>
  <c r="S36" i="1"/>
  <c r="R36" i="1"/>
  <c r="Q36" i="1"/>
  <c r="I36" i="1"/>
  <c r="AL36" i="1" s="1"/>
  <c r="AG35" i="1"/>
  <c r="T35" i="1"/>
  <c r="S35" i="1"/>
  <c r="R35" i="1"/>
  <c r="Q35" i="1"/>
  <c r="I35" i="1"/>
  <c r="AK35" i="1" s="1"/>
  <c r="AG34" i="1"/>
  <c r="T34" i="1"/>
  <c r="S34" i="1"/>
  <c r="R34" i="1"/>
  <c r="Q34" i="1"/>
  <c r="I34" i="1"/>
  <c r="AA34" i="1" s="1"/>
  <c r="AG33" i="1"/>
  <c r="T33" i="1"/>
  <c r="S33" i="1"/>
  <c r="R33" i="1"/>
  <c r="Q33" i="1"/>
  <c r="I33" i="1"/>
  <c r="AA33" i="1" s="1"/>
  <c r="AG32" i="1"/>
  <c r="T32" i="1"/>
  <c r="S32" i="1"/>
  <c r="R32" i="1"/>
  <c r="Q32" i="1"/>
  <c r="I32" i="1"/>
  <c r="AG31" i="1"/>
  <c r="T31" i="1"/>
  <c r="S31" i="1"/>
  <c r="R31" i="1"/>
  <c r="Q31" i="1"/>
  <c r="I31" i="1"/>
  <c r="AG30" i="1"/>
  <c r="T30" i="1"/>
  <c r="S30" i="1"/>
  <c r="R30" i="1"/>
  <c r="Q30" i="1"/>
  <c r="I30" i="1"/>
  <c r="AE30" i="1" s="1"/>
  <c r="AG29" i="1"/>
  <c r="T29" i="1"/>
  <c r="S29" i="1"/>
  <c r="R29" i="1"/>
  <c r="Q29" i="1"/>
  <c r="I29" i="1"/>
  <c r="AE29" i="1" s="1"/>
  <c r="AG28" i="1"/>
  <c r="T28" i="1"/>
  <c r="S28" i="1"/>
  <c r="R28" i="1"/>
  <c r="Q28" i="1"/>
  <c r="I28" i="1"/>
  <c r="AL28" i="1" s="1"/>
  <c r="AG27" i="1"/>
  <c r="T27" i="1"/>
  <c r="S27" i="1"/>
  <c r="R27" i="1"/>
  <c r="Q27" i="1"/>
  <c r="I27" i="1"/>
  <c r="AA27" i="1" s="1"/>
  <c r="AG26" i="1"/>
  <c r="T26" i="1"/>
  <c r="S26" i="1"/>
  <c r="R26" i="1"/>
  <c r="Q26" i="1"/>
  <c r="I26" i="1"/>
  <c r="AE26" i="1" s="1"/>
  <c r="AG25" i="1"/>
  <c r="T25" i="1"/>
  <c r="S25" i="1"/>
  <c r="R25" i="1"/>
  <c r="Q25" i="1"/>
  <c r="I25" i="1"/>
  <c r="AA25" i="1" s="1"/>
  <c r="AG24" i="1"/>
  <c r="AA24" i="1"/>
  <c r="T24" i="1"/>
  <c r="S24" i="1"/>
  <c r="R24" i="1"/>
  <c r="Q24" i="1"/>
  <c r="I24" i="1"/>
  <c r="AK24" i="1" s="1"/>
  <c r="AG23" i="1"/>
  <c r="T23" i="1"/>
  <c r="S23" i="1"/>
  <c r="R23" i="1"/>
  <c r="Q23" i="1"/>
  <c r="I23" i="1"/>
  <c r="AG22" i="1"/>
  <c r="T22" i="1"/>
  <c r="S22" i="1"/>
  <c r="R22" i="1"/>
  <c r="Q22" i="1"/>
  <c r="I22" i="1"/>
  <c r="AE22" i="1" s="1"/>
  <c r="AG21" i="1"/>
  <c r="T21" i="1"/>
  <c r="S21" i="1"/>
  <c r="R21" i="1"/>
  <c r="Q21" i="1"/>
  <c r="I21" i="1"/>
  <c r="AG20" i="1"/>
  <c r="I20" i="1"/>
  <c r="AG19" i="1"/>
  <c r="T19" i="1"/>
  <c r="T20" i="1" s="1"/>
  <c r="S19" i="1"/>
  <c r="S20" i="1" s="1"/>
  <c r="Q19" i="1"/>
  <c r="Q20" i="1" s="1"/>
  <c r="I19" i="1"/>
  <c r="AG18" i="1"/>
  <c r="T18" i="1"/>
  <c r="S18" i="1"/>
  <c r="I18" i="1"/>
  <c r="AG17" i="1"/>
  <c r="I17" i="1"/>
  <c r="AG16" i="1"/>
  <c r="R16" i="1"/>
  <c r="R17" i="1" s="1"/>
  <c r="R18" i="1" s="1"/>
  <c r="R19" i="1" s="1"/>
  <c r="R20" i="1" s="1"/>
  <c r="Q16" i="1"/>
  <c r="Q17" i="1" s="1"/>
  <c r="Q18" i="1" s="1"/>
  <c r="I16" i="1"/>
  <c r="AG15" i="1"/>
  <c r="R15" i="1"/>
  <c r="Q15" i="1"/>
  <c r="I15" i="1"/>
  <c r="AG14" i="1"/>
  <c r="R14" i="1"/>
  <c r="Q14" i="1"/>
  <c r="I14" i="1"/>
  <c r="AG13" i="1"/>
  <c r="I13" i="1"/>
  <c r="AG12" i="1"/>
  <c r="I12" i="1" s="1"/>
  <c r="AG11" i="1"/>
  <c r="I11" i="1" s="1"/>
  <c r="Q11" i="1"/>
  <c r="Q12" i="1" s="1"/>
  <c r="Q13" i="1" s="1"/>
  <c r="AG10" i="1"/>
  <c r="I10" i="1" s="1"/>
  <c r="AG9" i="1"/>
  <c r="I9" i="1"/>
  <c r="AG8" i="1"/>
  <c r="I8" i="1" s="1"/>
  <c r="AG7" i="1"/>
  <c r="I7" i="1" s="1"/>
  <c r="B7" i="4" s="1"/>
  <c r="AG6" i="1"/>
  <c r="Q6" i="1"/>
  <c r="I6" i="1"/>
  <c r="AG5" i="1"/>
  <c r="I5" i="1" s="1"/>
  <c r="AD5" i="1"/>
  <c r="AC5" i="1"/>
  <c r="Z5" i="1"/>
  <c r="Y5" i="1"/>
  <c r="X5" i="1"/>
  <c r="W5" i="1"/>
  <c r="T5" i="1"/>
  <c r="T6" i="1" s="1"/>
  <c r="T7" i="1" s="1"/>
  <c r="T8" i="1" s="1"/>
  <c r="T9" i="1" s="1"/>
  <c r="S5" i="1"/>
  <c r="R5" i="1"/>
  <c r="R6" i="1" s="1"/>
  <c r="R7" i="1" s="1"/>
  <c r="R8" i="1" s="1"/>
  <c r="R9" i="1" s="1"/>
  <c r="R10" i="1" s="1"/>
  <c r="R11" i="1" s="1"/>
  <c r="Q5" i="1"/>
  <c r="V5" i="1" l="1"/>
  <c r="V65" i="1"/>
  <c r="U64" i="1"/>
  <c r="U61" i="1"/>
  <c r="AH61" i="1" s="1"/>
  <c r="AJ61" i="1" s="1"/>
  <c r="J61" i="1" s="1"/>
  <c r="U24" i="1"/>
  <c r="AH24" i="1" s="1"/>
  <c r="AJ24" i="1" s="1"/>
  <c r="J24" i="1" s="1"/>
  <c r="U94" i="2"/>
  <c r="AH94" i="2" s="1"/>
  <c r="AJ94" i="2" s="1"/>
  <c r="J94" i="2" s="1"/>
  <c r="AK69" i="1"/>
  <c r="AE83" i="1"/>
  <c r="AA98" i="2"/>
  <c r="AA97" i="2"/>
  <c r="AE57" i="1"/>
  <c r="K57" i="1" s="1"/>
  <c r="AA47" i="2"/>
  <c r="AL42" i="2"/>
  <c r="AK33" i="1"/>
  <c r="AA61" i="1"/>
  <c r="AK62" i="1"/>
  <c r="AK85" i="1"/>
  <c r="AA70" i="2"/>
  <c r="AL71" i="2"/>
  <c r="AE97" i="2"/>
  <c r="AE98" i="2"/>
  <c r="AE51" i="1"/>
  <c r="K51" i="1" s="1"/>
  <c r="AL56" i="1"/>
  <c r="AE32" i="2"/>
  <c r="AE59" i="2"/>
  <c r="K59" i="2" s="1"/>
  <c r="AA87" i="2"/>
  <c r="K87" i="2" s="1"/>
  <c r="AE101" i="1"/>
  <c r="K101" i="1" s="1"/>
  <c r="AA31" i="2"/>
  <c r="K31" i="2" s="1"/>
  <c r="AE68" i="2"/>
  <c r="K68" i="2" s="1"/>
  <c r="AE86" i="2"/>
  <c r="AE25" i="1"/>
  <c r="K25" i="1" s="1"/>
  <c r="AL65" i="1"/>
  <c r="M65" i="1" s="1"/>
  <c r="AE44" i="2"/>
  <c r="K44" i="2" s="1"/>
  <c r="U36" i="2"/>
  <c r="L36" i="2" s="1"/>
  <c r="U101" i="2"/>
  <c r="AH101" i="2" s="1"/>
  <c r="AJ101" i="2" s="1"/>
  <c r="J101" i="2" s="1"/>
  <c r="V26" i="2"/>
  <c r="M26" i="2" s="1"/>
  <c r="U34" i="2"/>
  <c r="AH34" i="2" s="1"/>
  <c r="AJ34" i="2" s="1"/>
  <c r="J34" i="2" s="1"/>
  <c r="V79" i="2"/>
  <c r="O79" i="2" s="1"/>
  <c r="U82" i="2"/>
  <c r="AH82" i="2" s="1"/>
  <c r="AJ82" i="2" s="1"/>
  <c r="J82" i="2" s="1"/>
  <c r="V46" i="2"/>
  <c r="AI46" i="2" s="1"/>
  <c r="U15" i="2"/>
  <c r="V22" i="2"/>
  <c r="U93" i="2"/>
  <c r="V96" i="2"/>
  <c r="M96" i="2" s="1"/>
  <c r="V40" i="2"/>
  <c r="AI40" i="2" s="1"/>
  <c r="U73" i="2"/>
  <c r="AH73" i="2" s="1"/>
  <c r="AJ73" i="2" s="1"/>
  <c r="J73" i="2" s="1"/>
  <c r="U13" i="2"/>
  <c r="U18" i="2"/>
  <c r="V29" i="2"/>
  <c r="O29" i="2" s="1"/>
  <c r="U33" i="2"/>
  <c r="U37" i="2"/>
  <c r="AH37" i="2" s="1"/>
  <c r="AJ37" i="2" s="1"/>
  <c r="J37" i="2" s="1"/>
  <c r="V38" i="2"/>
  <c r="AI38" i="2" s="1"/>
  <c r="U51" i="2"/>
  <c r="AH51" i="2" s="1"/>
  <c r="AJ51" i="2" s="1"/>
  <c r="J51" i="2" s="1"/>
  <c r="V52" i="2"/>
  <c r="AI52" i="2" s="1"/>
  <c r="U65" i="2"/>
  <c r="AH65" i="2" s="1"/>
  <c r="AJ65" i="2" s="1"/>
  <c r="J65" i="2" s="1"/>
  <c r="U70" i="2"/>
  <c r="V84" i="2"/>
  <c r="AI84" i="2" s="1"/>
  <c r="U88" i="2"/>
  <c r="AH88" i="2" s="1"/>
  <c r="AJ88" i="2" s="1"/>
  <c r="J88" i="2" s="1"/>
  <c r="U92" i="2"/>
  <c r="AH92" i="2" s="1"/>
  <c r="AJ92" i="2" s="1"/>
  <c r="J92" i="2" s="1"/>
  <c r="V104" i="2"/>
  <c r="AI104" i="2" s="1"/>
  <c r="U31" i="2"/>
  <c r="AH31" i="2" s="1"/>
  <c r="AJ31" i="2" s="1"/>
  <c r="J31" i="2" s="1"/>
  <c r="V56" i="2"/>
  <c r="AI56" i="2" s="1"/>
  <c r="V60" i="2"/>
  <c r="AI60" i="2" s="1"/>
  <c r="V70" i="2"/>
  <c r="M70" i="2" s="1"/>
  <c r="V71" i="2"/>
  <c r="AI71" i="2" s="1"/>
  <c r="V75" i="2"/>
  <c r="O75" i="2" s="1"/>
  <c r="U78" i="2"/>
  <c r="V88" i="2"/>
  <c r="O88" i="2" s="1"/>
  <c r="V32" i="2"/>
  <c r="AI32" i="2" s="1"/>
  <c r="V36" i="2"/>
  <c r="O36" i="2" s="1"/>
  <c r="U43" i="2"/>
  <c r="AH43" i="2" s="1"/>
  <c r="AJ43" i="2" s="1"/>
  <c r="J43" i="2" s="1"/>
  <c r="U38" i="2"/>
  <c r="U42" i="2"/>
  <c r="AH42" i="2" s="1"/>
  <c r="AJ42" i="2" s="1"/>
  <c r="J42" i="2" s="1"/>
  <c r="U48" i="2"/>
  <c r="AH48" i="2" s="1"/>
  <c r="AJ48" i="2" s="1"/>
  <c r="J48" i="2" s="1"/>
  <c r="V62" i="2"/>
  <c r="U80" i="2"/>
  <c r="AH80" i="2" s="1"/>
  <c r="AJ80" i="2" s="1"/>
  <c r="J80" i="2" s="1"/>
  <c r="U89" i="2"/>
  <c r="AH89" i="2" s="1"/>
  <c r="AJ89" i="2" s="1"/>
  <c r="J89" i="2" s="1"/>
  <c r="U21" i="2"/>
  <c r="V51" i="2"/>
  <c r="AI51" i="2" s="1"/>
  <c r="V55" i="2"/>
  <c r="O55" i="2" s="1"/>
  <c r="U68" i="2"/>
  <c r="AH68" i="2" s="1"/>
  <c r="AJ68" i="2" s="1"/>
  <c r="J68" i="2" s="1"/>
  <c r="V92" i="2"/>
  <c r="O92" i="2" s="1"/>
  <c r="V15" i="2"/>
  <c r="U29" i="2"/>
  <c r="AH29" i="2" s="1"/>
  <c r="AJ29" i="2" s="1"/>
  <c r="J29" i="2" s="1"/>
  <c r="U53" i="2"/>
  <c r="AH53" i="2" s="1"/>
  <c r="AJ53" i="2" s="1"/>
  <c r="J53" i="2" s="1"/>
  <c r="V54" i="2"/>
  <c r="AI54" i="2" s="1"/>
  <c r="V63" i="2"/>
  <c r="AI63" i="2" s="1"/>
  <c r="V74" i="2"/>
  <c r="AI74" i="2" s="1"/>
  <c r="U77" i="2"/>
  <c r="L77" i="2" s="1"/>
  <c r="V87" i="2"/>
  <c r="AI87" i="2" s="1"/>
  <c r="U96" i="2"/>
  <c r="AH96" i="2" s="1"/>
  <c r="AJ96" i="2" s="1"/>
  <c r="J96" i="2" s="1"/>
  <c r="U102" i="2"/>
  <c r="AH102" i="2" s="1"/>
  <c r="AJ102" i="2" s="1"/>
  <c r="J102" i="2" s="1"/>
  <c r="V103" i="2"/>
  <c r="AI103" i="2" s="1"/>
  <c r="V44" i="2"/>
  <c r="AI44" i="2" s="1"/>
  <c r="U19" i="2"/>
  <c r="V21" i="2"/>
  <c r="V13" i="2"/>
  <c r="V20" i="2"/>
  <c r="V43" i="2"/>
  <c r="AI43" i="2" s="1"/>
  <c r="U56" i="2"/>
  <c r="N56" i="2" s="1"/>
  <c r="V73" i="2"/>
  <c r="AI73" i="2" s="1"/>
  <c r="V95" i="2"/>
  <c r="O95" i="2" s="1"/>
  <c r="V17" i="2"/>
  <c r="U46" i="2"/>
  <c r="N46" i="2" s="1"/>
  <c r="U59" i="2"/>
  <c r="AH59" i="2" s="1"/>
  <c r="AJ59" i="2" s="1"/>
  <c r="J59" i="2" s="1"/>
  <c r="V65" i="2"/>
  <c r="U75" i="2"/>
  <c r="N75" i="2" s="1"/>
  <c r="V80" i="2"/>
  <c r="U87" i="2"/>
  <c r="AH87" i="2" s="1"/>
  <c r="AJ87" i="2" s="1"/>
  <c r="J87" i="2" s="1"/>
  <c r="U97" i="2"/>
  <c r="AH97" i="2" s="1"/>
  <c r="AJ97" i="2" s="1"/>
  <c r="J97" i="2" s="1"/>
  <c r="V25" i="2"/>
  <c r="AI25" i="2" s="1"/>
  <c r="V30" i="2"/>
  <c r="AI30" i="2" s="1"/>
  <c r="U39" i="2"/>
  <c r="AH39" i="2" s="1"/>
  <c r="AJ39" i="2" s="1"/>
  <c r="J39" i="2" s="1"/>
  <c r="U44" i="2"/>
  <c r="AH44" i="2" s="1"/>
  <c r="AJ44" i="2" s="1"/>
  <c r="J44" i="2" s="1"/>
  <c r="V97" i="2"/>
  <c r="O97" i="2" s="1"/>
  <c r="V99" i="2"/>
  <c r="AI99" i="2" s="1"/>
  <c r="U6" i="2"/>
  <c r="V9" i="2"/>
  <c r="U14" i="2"/>
  <c r="U23" i="2"/>
  <c r="V24" i="2"/>
  <c r="AI24" i="2" s="1"/>
  <c r="V35" i="2"/>
  <c r="AI35" i="2" s="1"/>
  <c r="U50" i="2"/>
  <c r="AH50" i="2" s="1"/>
  <c r="AJ50" i="2" s="1"/>
  <c r="J50" i="2" s="1"/>
  <c r="V61" i="2"/>
  <c r="AI61" i="2" s="1"/>
  <c r="U66" i="2"/>
  <c r="N66" i="2" s="1"/>
  <c r="U67" i="2"/>
  <c r="V68" i="2"/>
  <c r="AI68" i="2" s="1"/>
  <c r="U22" i="2"/>
  <c r="U26" i="2"/>
  <c r="U27" i="2"/>
  <c r="AH27" i="2" s="1"/>
  <c r="AJ27" i="2" s="1"/>
  <c r="J27" i="2" s="1"/>
  <c r="V28" i="2"/>
  <c r="O28" i="2" s="1"/>
  <c r="U32" i="2"/>
  <c r="AH32" i="2" s="1"/>
  <c r="AJ32" i="2" s="1"/>
  <c r="J32" i="2" s="1"/>
  <c r="U86" i="2"/>
  <c r="AH86" i="2" s="1"/>
  <c r="AJ86" i="2" s="1"/>
  <c r="J86" i="2" s="1"/>
  <c r="V94" i="2"/>
  <c r="AI94" i="2" s="1"/>
  <c r="U100" i="2"/>
  <c r="AH100" i="2" s="1"/>
  <c r="AJ100" i="2" s="1"/>
  <c r="J100" i="2" s="1"/>
  <c r="V59" i="2"/>
  <c r="O59" i="2" s="1"/>
  <c r="V64" i="2"/>
  <c r="O64" i="2" s="1"/>
  <c r="U71" i="2"/>
  <c r="AH71" i="2" s="1"/>
  <c r="AJ71" i="2" s="1"/>
  <c r="J71" i="2" s="1"/>
  <c r="U81" i="2"/>
  <c r="AH81" i="2" s="1"/>
  <c r="AJ81" i="2" s="1"/>
  <c r="J81" i="2" s="1"/>
  <c r="U85" i="2"/>
  <c r="AH85" i="2" s="1"/>
  <c r="AJ85" i="2" s="1"/>
  <c r="J85" i="2" s="1"/>
  <c r="V101" i="2"/>
  <c r="AI101" i="2" s="1"/>
  <c r="U10" i="2"/>
  <c r="U17" i="2"/>
  <c r="U25" i="2"/>
  <c r="AH25" i="2" s="1"/>
  <c r="AJ25" i="2" s="1"/>
  <c r="J25" i="2" s="1"/>
  <c r="V42" i="2"/>
  <c r="U98" i="2"/>
  <c r="AH98" i="2" s="1"/>
  <c r="AJ98" i="2" s="1"/>
  <c r="J98" i="2" s="1"/>
  <c r="V12" i="2"/>
  <c r="U20" i="2"/>
  <c r="U30" i="2"/>
  <c r="AH30" i="2" s="1"/>
  <c r="AJ30" i="2" s="1"/>
  <c r="J30" i="2" s="1"/>
  <c r="V37" i="2"/>
  <c r="AI37" i="2" s="1"/>
  <c r="U40" i="2"/>
  <c r="N40" i="2" s="1"/>
  <c r="V41" i="2"/>
  <c r="AI41" i="2" s="1"/>
  <c r="V53" i="2"/>
  <c r="O53" i="2" s="1"/>
  <c r="U57" i="2"/>
  <c r="AH57" i="2" s="1"/>
  <c r="AJ57" i="2" s="1"/>
  <c r="J57" i="2" s="1"/>
  <c r="U62" i="2"/>
  <c r="N62" i="2" s="1"/>
  <c r="U69" i="2"/>
  <c r="AH69" i="2" s="1"/>
  <c r="AJ69" i="2" s="1"/>
  <c r="J69" i="2" s="1"/>
  <c r="V76" i="2"/>
  <c r="AI76" i="2" s="1"/>
  <c r="U79" i="2"/>
  <c r="U84" i="2"/>
  <c r="L84" i="2" s="1"/>
  <c r="U90" i="2"/>
  <c r="AH90" i="2" s="1"/>
  <c r="AJ90" i="2" s="1"/>
  <c r="J90" i="2" s="1"/>
  <c r="V91" i="2"/>
  <c r="O91" i="2" s="1"/>
  <c r="V100" i="2"/>
  <c r="O100" i="2" s="1"/>
  <c r="U65" i="1"/>
  <c r="W65" i="1" s="1"/>
  <c r="U82" i="1"/>
  <c r="N82" i="1" s="1"/>
  <c r="U70" i="1"/>
  <c r="AH70" i="1" s="1"/>
  <c r="AJ70" i="1" s="1"/>
  <c r="J70" i="1" s="1"/>
  <c r="V78" i="1"/>
  <c r="AI78" i="1" s="1"/>
  <c r="V82" i="1"/>
  <c r="AI82" i="1" s="1"/>
  <c r="U104" i="1"/>
  <c r="AH104" i="1" s="1"/>
  <c r="AJ104" i="1" s="1"/>
  <c r="J104" i="1" s="1"/>
  <c r="V19" i="1"/>
  <c r="V23" i="1"/>
  <c r="O23" i="1" s="1"/>
  <c r="V20" i="1"/>
  <c r="V33" i="1"/>
  <c r="U40" i="1"/>
  <c r="N40" i="1" s="1"/>
  <c r="V49" i="1"/>
  <c r="AI49" i="1" s="1"/>
  <c r="U72" i="1"/>
  <c r="N72" i="1" s="1"/>
  <c r="U93" i="1"/>
  <c r="N93" i="1" s="1"/>
  <c r="V103" i="1"/>
  <c r="V51" i="1"/>
  <c r="O51" i="1" s="1"/>
  <c r="U101" i="1"/>
  <c r="AH101" i="1" s="1"/>
  <c r="AJ101" i="1" s="1"/>
  <c r="J101" i="1" s="1"/>
  <c r="V34" i="1"/>
  <c r="O34" i="1" s="1"/>
  <c r="V38" i="1"/>
  <c r="O38" i="1" s="1"/>
  <c r="V88" i="1"/>
  <c r="O88" i="1" s="1"/>
  <c r="V92" i="1"/>
  <c r="O92" i="1" s="1"/>
  <c r="V29" i="1"/>
  <c r="V59" i="1"/>
  <c r="O59" i="1" s="1"/>
  <c r="V37" i="1"/>
  <c r="AI37" i="1" s="1"/>
  <c r="V77" i="1"/>
  <c r="V67" i="1"/>
  <c r="AI67" i="1" s="1"/>
  <c r="V52" i="1"/>
  <c r="AI52" i="1" s="1"/>
  <c r="V56" i="1"/>
  <c r="AI56" i="1" s="1"/>
  <c r="V79" i="1"/>
  <c r="V25" i="1"/>
  <c r="O25" i="1" s="1"/>
  <c r="V46" i="1"/>
  <c r="O46" i="1" s="1"/>
  <c r="V36" i="1"/>
  <c r="AI36" i="1" s="1"/>
  <c r="V57" i="1"/>
  <c r="O57" i="1" s="1"/>
  <c r="V62" i="1"/>
  <c r="AI62" i="1" s="1"/>
  <c r="V72" i="1"/>
  <c r="AI72" i="1" s="1"/>
  <c r="V27" i="1"/>
  <c r="AI27" i="1" s="1"/>
  <c r="U31" i="1"/>
  <c r="N31" i="1" s="1"/>
  <c r="U102" i="1"/>
  <c r="AH102" i="1" s="1"/>
  <c r="AJ102" i="1" s="1"/>
  <c r="J102" i="1" s="1"/>
  <c r="U75" i="1"/>
  <c r="AH75" i="1" s="1"/>
  <c r="AJ75" i="1" s="1"/>
  <c r="J75" i="1" s="1"/>
  <c r="U14" i="1"/>
  <c r="U48" i="1"/>
  <c r="L48" i="1" s="1"/>
  <c r="U95" i="1"/>
  <c r="N95" i="1" s="1"/>
  <c r="U18" i="1"/>
  <c r="U22" i="1"/>
  <c r="AH22" i="1" s="1"/>
  <c r="U52" i="1"/>
  <c r="N52" i="1" s="1"/>
  <c r="U56" i="1"/>
  <c r="N56" i="1" s="1"/>
  <c r="U71" i="1"/>
  <c r="U43" i="1"/>
  <c r="N43" i="1" s="1"/>
  <c r="U51" i="1"/>
  <c r="AH51" i="1" s="1"/>
  <c r="AJ51" i="1" s="1"/>
  <c r="J51" i="1" s="1"/>
  <c r="U66" i="1"/>
  <c r="U34" i="1"/>
  <c r="AH34" i="1" s="1"/>
  <c r="AJ34" i="1" s="1"/>
  <c r="J34" i="1" s="1"/>
  <c r="U38" i="1"/>
  <c r="AH38" i="1" s="1"/>
  <c r="AJ38" i="1" s="1"/>
  <c r="J38" i="1" s="1"/>
  <c r="U69" i="1"/>
  <c r="U83" i="1"/>
  <c r="AH83" i="1" s="1"/>
  <c r="AJ83" i="1" s="1"/>
  <c r="J83" i="1" s="1"/>
  <c r="U45" i="1"/>
  <c r="AH45" i="1" s="1"/>
  <c r="AJ45" i="1" s="1"/>
  <c r="J45" i="1" s="1"/>
  <c r="U32" i="1"/>
  <c r="AH32" i="1" s="1"/>
  <c r="AJ32" i="1" s="1"/>
  <c r="J32" i="1" s="1"/>
  <c r="U53" i="1"/>
  <c r="AH53" i="1" s="1"/>
  <c r="AJ53" i="1" s="1"/>
  <c r="J53" i="1" s="1"/>
  <c r="U58" i="1"/>
  <c r="N58" i="1" s="1"/>
  <c r="U81" i="1"/>
  <c r="AH81" i="1" s="1"/>
  <c r="AJ81" i="1" s="1"/>
  <c r="J81" i="1" s="1"/>
  <c r="V96" i="1"/>
  <c r="M96" i="1" s="1"/>
  <c r="V31" i="1"/>
  <c r="AI31" i="1" s="1"/>
  <c r="V80" i="1"/>
  <c r="AI80" i="1" s="1"/>
  <c r="V60" i="1"/>
  <c r="AI60" i="1" s="1"/>
  <c r="V76" i="1"/>
  <c r="AI76" i="1" s="1"/>
  <c r="V91" i="1"/>
  <c r="AI91" i="1" s="1"/>
  <c r="V104" i="1"/>
  <c r="V28" i="1"/>
  <c r="O28" i="1" s="1"/>
  <c r="V32" i="1"/>
  <c r="O32" i="1" s="1"/>
  <c r="V102" i="1"/>
  <c r="AI102" i="1" s="1"/>
  <c r="V18" i="1"/>
  <c r="U26" i="1"/>
  <c r="N26" i="1" s="1"/>
  <c r="U30" i="1"/>
  <c r="AH30" i="1" s="1"/>
  <c r="AJ30" i="1" s="1"/>
  <c r="J30" i="1" s="1"/>
  <c r="U35" i="1"/>
  <c r="AH35" i="1" s="1"/>
  <c r="AJ35" i="1" s="1"/>
  <c r="J35" i="1" s="1"/>
  <c r="V40" i="1"/>
  <c r="O40" i="1" s="1"/>
  <c r="V45" i="1"/>
  <c r="AI45" i="1" s="1"/>
  <c r="U54" i="1"/>
  <c r="AH54" i="1" s="1"/>
  <c r="AJ54" i="1" s="1"/>
  <c r="J54" i="1" s="1"/>
  <c r="U59" i="1"/>
  <c r="AH59" i="1" s="1"/>
  <c r="AJ59" i="1" s="1"/>
  <c r="J59" i="1" s="1"/>
  <c r="V68" i="1"/>
  <c r="AI68" i="1" s="1"/>
  <c r="U78" i="1"/>
  <c r="AH78" i="1" s="1"/>
  <c r="AJ78" i="1" s="1"/>
  <c r="J78" i="1" s="1"/>
  <c r="U89" i="1"/>
  <c r="L89" i="1" s="1"/>
  <c r="V95" i="1"/>
  <c r="O95" i="1" s="1"/>
  <c r="U98" i="1"/>
  <c r="AH98" i="1" s="1"/>
  <c r="AJ98" i="1" s="1"/>
  <c r="J98" i="1" s="1"/>
  <c r="V99" i="1"/>
  <c r="AI99" i="1" s="1"/>
  <c r="V24" i="1"/>
  <c r="U33" i="1"/>
  <c r="AH33" i="1" s="1"/>
  <c r="AJ33" i="1" s="1"/>
  <c r="J33" i="1" s="1"/>
  <c r="V35" i="1"/>
  <c r="AI35" i="1" s="1"/>
  <c r="U42" i="1"/>
  <c r="AH42" i="1" s="1"/>
  <c r="AJ42" i="1" s="1"/>
  <c r="J42" i="1" s="1"/>
  <c r="V44" i="1"/>
  <c r="AI44" i="1" s="1"/>
  <c r="V48" i="1"/>
  <c r="V54" i="1"/>
  <c r="AI54" i="1" s="1"/>
  <c r="U57" i="1"/>
  <c r="V73" i="1"/>
  <c r="U77" i="1"/>
  <c r="AH77" i="1" s="1"/>
  <c r="AJ77" i="1" s="1"/>
  <c r="J77" i="1" s="1"/>
  <c r="V83" i="1"/>
  <c r="AI83" i="1" s="1"/>
  <c r="V84" i="1"/>
  <c r="AI84" i="1" s="1"/>
  <c r="U6" i="1"/>
  <c r="U21" i="1"/>
  <c r="U41" i="1"/>
  <c r="U46" i="1"/>
  <c r="AH46" i="1" s="1"/>
  <c r="AJ46" i="1" s="1"/>
  <c r="J46" i="1" s="1"/>
  <c r="V47" i="1"/>
  <c r="AI47" i="1" s="1"/>
  <c r="U62" i="1"/>
  <c r="N62" i="1" s="1"/>
  <c r="V70" i="1"/>
  <c r="AI70" i="1" s="1"/>
  <c r="U80" i="1"/>
  <c r="AH80" i="1" s="1"/>
  <c r="AJ80" i="1" s="1"/>
  <c r="J80" i="1" s="1"/>
  <c r="U87" i="1"/>
  <c r="N87" i="1" s="1"/>
  <c r="V97" i="1"/>
  <c r="AI97" i="1" s="1"/>
  <c r="U16" i="1"/>
  <c r="V41" i="1"/>
  <c r="AI41" i="1" s="1"/>
  <c r="V63" i="1"/>
  <c r="AI63" i="1" s="1"/>
  <c r="V64" i="1"/>
  <c r="AI64" i="1" s="1"/>
  <c r="U67" i="1"/>
  <c r="AH67" i="1" s="1"/>
  <c r="AJ67" i="1" s="1"/>
  <c r="J67" i="1" s="1"/>
  <c r="V75" i="1"/>
  <c r="AI75" i="1" s="1"/>
  <c r="U79" i="1"/>
  <c r="AH79" i="1" s="1"/>
  <c r="AJ79" i="1" s="1"/>
  <c r="J79" i="1" s="1"/>
  <c r="V86" i="1"/>
  <c r="AI86" i="1" s="1"/>
  <c r="U90" i="1"/>
  <c r="N90" i="1" s="1"/>
  <c r="U99" i="1"/>
  <c r="AH99" i="1" s="1"/>
  <c r="AJ99" i="1" s="1"/>
  <c r="J99" i="1" s="1"/>
  <c r="V100" i="1"/>
  <c r="AI100" i="1" s="1"/>
  <c r="AL75" i="1"/>
  <c r="AE54" i="1"/>
  <c r="K54" i="1" s="1"/>
  <c r="AE73" i="1"/>
  <c r="AA83" i="1"/>
  <c r="AA84" i="1"/>
  <c r="AL88" i="1"/>
  <c r="AL91" i="1"/>
  <c r="AK73" i="2"/>
  <c r="AE89" i="2"/>
  <c r="AK22" i="1"/>
  <c r="AK53" i="1"/>
  <c r="AE59" i="1"/>
  <c r="K59" i="1" s="1"/>
  <c r="AA62" i="1"/>
  <c r="K62" i="1" s="1"/>
  <c r="AE70" i="1"/>
  <c r="AK72" i="1"/>
  <c r="AA32" i="2"/>
  <c r="AE34" i="2"/>
  <c r="K34" i="2" s="1"/>
  <c r="AK89" i="2"/>
  <c r="AA37" i="1"/>
  <c r="AA38" i="1"/>
  <c r="AK101" i="1"/>
  <c r="AA48" i="2"/>
  <c r="AA56" i="2"/>
  <c r="AE57" i="2"/>
  <c r="AL68" i="2"/>
  <c r="AK76" i="2"/>
  <c r="AL97" i="2"/>
  <c r="AA35" i="1"/>
  <c r="AE36" i="1"/>
  <c r="AE38" i="1"/>
  <c r="AA39" i="1"/>
  <c r="K39" i="1" s="1"/>
  <c r="AL46" i="1"/>
  <c r="AA98" i="1"/>
  <c r="K98" i="1" s="1"/>
  <c r="AE99" i="1"/>
  <c r="AK34" i="2"/>
  <c r="AE39" i="2"/>
  <c r="AA53" i="2"/>
  <c r="AE28" i="1"/>
  <c r="AE33" i="1"/>
  <c r="K33" i="1" s="1"/>
  <c r="AE35" i="1"/>
  <c r="AL40" i="1"/>
  <c r="AL62" i="1"/>
  <c r="AK80" i="1"/>
  <c r="AA90" i="1"/>
  <c r="K90" i="1" s="1"/>
  <c r="AA91" i="1"/>
  <c r="AA38" i="2"/>
  <c r="K38" i="2" s="1"/>
  <c r="AK46" i="2"/>
  <c r="AE53" i="2"/>
  <c r="AA61" i="2"/>
  <c r="K61" i="2" s="1"/>
  <c r="AK65" i="2"/>
  <c r="AA82" i="2"/>
  <c r="AA83" i="2"/>
  <c r="AA26" i="1"/>
  <c r="K26" i="1" s="1"/>
  <c r="AL38" i="1"/>
  <c r="AK56" i="1"/>
  <c r="AK77" i="1"/>
  <c r="AA78" i="1"/>
  <c r="AA87" i="1"/>
  <c r="AE91" i="1"/>
  <c r="AK98" i="1"/>
  <c r="AA73" i="2"/>
  <c r="AK81" i="2"/>
  <c r="AE82" i="2"/>
  <c r="AE83" i="2"/>
  <c r="AL27" i="1"/>
  <c r="AE75" i="1"/>
  <c r="K75" i="1" s="1"/>
  <c r="AE87" i="1"/>
  <c r="AL53" i="2"/>
  <c r="AE71" i="2"/>
  <c r="AA79" i="2"/>
  <c r="K79" i="2" s="1"/>
  <c r="AL81" i="2"/>
  <c r="AA89" i="2"/>
  <c r="AK101" i="2"/>
  <c r="AL43" i="2"/>
  <c r="AK30" i="1"/>
  <c r="AK32" i="1"/>
  <c r="AL43" i="1"/>
  <c r="AK49" i="1"/>
  <c r="AK67" i="1"/>
  <c r="AE65" i="2"/>
  <c r="K65" i="2" s="1"/>
  <c r="AE73" i="2"/>
  <c r="AL76" i="2"/>
  <c r="AK78" i="2"/>
  <c r="AK85" i="2"/>
  <c r="AA102" i="2"/>
  <c r="AL22" i="1"/>
  <c r="AK25" i="1"/>
  <c r="AK28" i="1"/>
  <c r="AL30" i="1"/>
  <c r="AL33" i="1"/>
  <c r="AK36" i="1"/>
  <c r="AL49" i="1"/>
  <c r="AK51" i="1"/>
  <c r="AK54" i="1"/>
  <c r="AK57" i="1"/>
  <c r="AK59" i="1"/>
  <c r="AL67" i="1"/>
  <c r="AL70" i="1"/>
  <c r="AL72" i="1"/>
  <c r="AK73" i="1"/>
  <c r="AK75" i="1"/>
  <c r="AE78" i="1"/>
  <c r="AE81" i="1"/>
  <c r="AK90" i="1"/>
  <c r="AE93" i="1"/>
  <c r="K93" i="1" s="1"/>
  <c r="AA95" i="1"/>
  <c r="K95" i="1" s="1"/>
  <c r="AK29" i="2"/>
  <c r="AK31" i="2"/>
  <c r="AE37" i="2"/>
  <c r="K37" i="2" s="1"/>
  <c r="AA39" i="2"/>
  <c r="AL46" i="2"/>
  <c r="AE48" i="2"/>
  <c r="AE51" i="2"/>
  <c r="K51" i="2" s="1"/>
  <c r="AE56" i="2"/>
  <c r="AK68" i="2"/>
  <c r="AK70" i="2"/>
  <c r="AL79" i="2"/>
  <c r="AK80" i="2"/>
  <c r="AK86" i="2"/>
  <c r="AL87" i="2"/>
  <c r="AA90" i="2"/>
  <c r="AA91" i="2"/>
  <c r="K91" i="2" s="1"/>
  <c r="AA94" i="2"/>
  <c r="K94" i="2" s="1"/>
  <c r="AE102" i="2"/>
  <c r="AA103" i="2"/>
  <c r="K103" i="2" s="1"/>
  <c r="AL25" i="1"/>
  <c r="AL51" i="1"/>
  <c r="AL54" i="1"/>
  <c r="AL57" i="1"/>
  <c r="AL59" i="1"/>
  <c r="AL83" i="1"/>
  <c r="AL90" i="1"/>
  <c r="AK96" i="1"/>
  <c r="AA97" i="1"/>
  <c r="K97" i="1" s="1"/>
  <c r="AL31" i="2"/>
  <c r="AE90" i="2"/>
  <c r="AA40" i="1"/>
  <c r="AA46" i="1"/>
  <c r="AL78" i="1"/>
  <c r="AL80" i="1"/>
  <c r="AK93" i="1"/>
  <c r="AA99" i="1"/>
  <c r="AE102" i="1"/>
  <c r="AK104" i="1"/>
  <c r="AL32" i="2"/>
  <c r="AK37" i="2"/>
  <c r="AA40" i="2"/>
  <c r="AA42" i="2"/>
  <c r="AK48" i="2"/>
  <c r="AK51" i="2"/>
  <c r="AK56" i="2"/>
  <c r="AA57" i="2"/>
  <c r="AK59" i="2"/>
  <c r="AK93" i="2"/>
  <c r="AK102" i="2"/>
  <c r="AL41" i="1"/>
  <c r="AK43" i="1"/>
  <c r="AL48" i="1"/>
  <c r="AE41" i="1"/>
  <c r="K41" i="1" s="1"/>
  <c r="AA43" i="1"/>
  <c r="K43" i="1" s="1"/>
  <c r="AE46" i="1"/>
  <c r="AA48" i="1"/>
  <c r="AE65" i="1"/>
  <c r="K65" i="1" s="1"/>
  <c r="AL93" i="1"/>
  <c r="AK97" i="1"/>
  <c r="AL104" i="1"/>
  <c r="AK26" i="2"/>
  <c r="AL37" i="2"/>
  <c r="AK39" i="2"/>
  <c r="AE40" i="2"/>
  <c r="AE43" i="2"/>
  <c r="K43" i="2" s="1"/>
  <c r="AL51" i="2"/>
  <c r="AL59" i="2"/>
  <c r="AK94" i="2"/>
  <c r="AA22" i="1"/>
  <c r="K22" i="1" s="1"/>
  <c r="AA30" i="1"/>
  <c r="K30" i="1" s="1"/>
  <c r="AK64" i="1"/>
  <c r="AA67" i="1"/>
  <c r="K67" i="1" s="1"/>
  <c r="AA69" i="1"/>
  <c r="K69" i="1" s="1"/>
  <c r="AL98" i="1"/>
  <c r="AL101" i="1"/>
  <c r="AL34" i="2"/>
  <c r="AA78" i="2"/>
  <c r="AL98" i="2"/>
  <c r="AA32" i="1"/>
  <c r="AK41" i="1"/>
  <c r="AE49" i="1"/>
  <c r="K49" i="1" s="1"/>
  <c r="AL64" i="1"/>
  <c r="AK65" i="1"/>
  <c r="AA70" i="1"/>
  <c r="AA77" i="1"/>
  <c r="K77" i="1" s="1"/>
  <c r="AL99" i="1"/>
  <c r="AL40" i="2"/>
  <c r="AK43" i="2"/>
  <c r="AE78" i="2"/>
  <c r="AA86" i="2"/>
  <c r="T10" i="1"/>
  <c r="T11" i="1" s="1"/>
  <c r="T12" i="1" s="1"/>
  <c r="T13" i="1" s="1"/>
  <c r="T14" i="1" s="1"/>
  <c r="T15" i="1" s="1"/>
  <c r="T16" i="1" s="1"/>
  <c r="T17" i="1" s="1"/>
  <c r="AH64" i="1"/>
  <c r="AJ64" i="1" s="1"/>
  <c r="J64" i="1" s="1"/>
  <c r="AI65" i="1"/>
  <c r="O65" i="1"/>
  <c r="U15" i="1"/>
  <c r="U17" i="1"/>
  <c r="V26" i="1"/>
  <c r="AI26" i="1" s="1"/>
  <c r="U29" i="1"/>
  <c r="AH29" i="1" s="1"/>
  <c r="AJ29" i="1" s="1"/>
  <c r="J29" i="1" s="1"/>
  <c r="U36" i="1"/>
  <c r="V43" i="1"/>
  <c r="U55" i="1"/>
  <c r="V81" i="1"/>
  <c r="AI81" i="1" s="1"/>
  <c r="U85" i="1"/>
  <c r="V89" i="1"/>
  <c r="O89" i="1" s="1"/>
  <c r="V94" i="1"/>
  <c r="AI94" i="1" s="1"/>
  <c r="U97" i="1"/>
  <c r="Q7" i="1"/>
  <c r="U19" i="1"/>
  <c r="U20" i="1"/>
  <c r="V30" i="1"/>
  <c r="AI30" i="1" s="1"/>
  <c r="V55" i="1"/>
  <c r="AI55" i="1" s="1"/>
  <c r="V87" i="1"/>
  <c r="AI87" i="1" s="1"/>
  <c r="V90" i="1"/>
  <c r="AI90" i="1" s="1"/>
  <c r="U91" i="1"/>
  <c r="V69" i="1"/>
  <c r="AI69" i="1" s="1"/>
  <c r="V71" i="1"/>
  <c r="U73" i="1"/>
  <c r="AH73" i="1" s="1"/>
  <c r="AJ73" i="1" s="1"/>
  <c r="J73" i="1" s="1"/>
  <c r="U74" i="1"/>
  <c r="V85" i="1"/>
  <c r="V101" i="1"/>
  <c r="O101" i="1" s="1"/>
  <c r="U11" i="1"/>
  <c r="V22" i="1"/>
  <c r="AI22" i="1" s="1"/>
  <c r="U37" i="1"/>
  <c r="N37" i="1" s="1"/>
  <c r="S6" i="1"/>
  <c r="R12" i="1"/>
  <c r="V21" i="1"/>
  <c r="U23" i="1"/>
  <c r="U25" i="1"/>
  <c r="N25" i="1" s="1"/>
  <c r="V42" i="1"/>
  <c r="O42" i="1" s="1"/>
  <c r="U49" i="1"/>
  <c r="AH49" i="1" s="1"/>
  <c r="AJ49" i="1" s="1"/>
  <c r="J49" i="1" s="1"/>
  <c r="V66" i="1"/>
  <c r="O66" i="1" s="1"/>
  <c r="V74" i="1"/>
  <c r="O74" i="1" s="1"/>
  <c r="U88" i="1"/>
  <c r="AH88" i="1" s="1"/>
  <c r="AJ88" i="1" s="1"/>
  <c r="J88" i="1" s="1"/>
  <c r="U92" i="1"/>
  <c r="U103" i="1"/>
  <c r="AH103" i="1" s="1"/>
  <c r="AJ103" i="1" s="1"/>
  <c r="J103" i="1" s="1"/>
  <c r="U5" i="1"/>
  <c r="U27" i="1"/>
  <c r="N27" i="1" s="1"/>
  <c r="U28" i="1"/>
  <c r="N28" i="1" s="1"/>
  <c r="V39" i="1"/>
  <c r="O39" i="1" s="1"/>
  <c r="U47" i="1"/>
  <c r="V93" i="1"/>
  <c r="AI93" i="1" s="1"/>
  <c r="U96" i="1"/>
  <c r="N96" i="1" s="1"/>
  <c r="V6" i="2"/>
  <c r="T7" i="2"/>
  <c r="V7" i="2" s="1"/>
  <c r="B17" i="4"/>
  <c r="V5" i="2"/>
  <c r="AI5" i="2" s="1"/>
  <c r="V10" i="2"/>
  <c r="S11" i="2"/>
  <c r="V11" i="2" s="1"/>
  <c r="U12" i="2"/>
  <c r="V18" i="2"/>
  <c r="V23" i="2"/>
  <c r="U41" i="2"/>
  <c r="AH41" i="2" s="1"/>
  <c r="AJ41" i="2" s="1"/>
  <c r="J41" i="2" s="1"/>
  <c r="V48" i="2"/>
  <c r="M48" i="2" s="1"/>
  <c r="U55" i="2"/>
  <c r="AH55" i="2" s="1"/>
  <c r="AJ55" i="2" s="1"/>
  <c r="J55" i="2" s="1"/>
  <c r="V93" i="2"/>
  <c r="AI93" i="2" s="1"/>
  <c r="U103" i="2"/>
  <c r="U104" i="2"/>
  <c r="L104" i="2" s="1"/>
  <c r="V89" i="2"/>
  <c r="M89" i="2" s="1"/>
  <c r="U28" i="2"/>
  <c r="N28" i="2" s="1"/>
  <c r="V81" i="2"/>
  <c r="AI81" i="2" s="1"/>
  <c r="Q7" i="2"/>
  <c r="V14" i="2"/>
  <c r="U16" i="2"/>
  <c r="U45" i="2"/>
  <c r="AH45" i="2" s="1"/>
  <c r="AJ45" i="2" s="1"/>
  <c r="J45" i="2" s="1"/>
  <c r="V49" i="2"/>
  <c r="O49" i="2" s="1"/>
  <c r="V50" i="2"/>
  <c r="AI50" i="2" s="1"/>
  <c r="U58" i="2"/>
  <c r="V69" i="2"/>
  <c r="AI69" i="2" s="1"/>
  <c r="V82" i="2"/>
  <c r="AI82" i="2" s="1"/>
  <c r="V83" i="2"/>
  <c r="O83" i="2" s="1"/>
  <c r="U91" i="2"/>
  <c r="U95" i="2"/>
  <c r="N95" i="2" s="1"/>
  <c r="V8" i="2"/>
  <c r="R9" i="2"/>
  <c r="V16" i="2"/>
  <c r="U24" i="2"/>
  <c r="AH24" i="2" s="1"/>
  <c r="AJ24" i="2" s="1"/>
  <c r="V34" i="2"/>
  <c r="AI34" i="2" s="1"/>
  <c r="V45" i="2"/>
  <c r="V57" i="2"/>
  <c r="AI57" i="2" s="1"/>
  <c r="V58" i="2"/>
  <c r="AI58" i="2" s="1"/>
  <c r="V66" i="2"/>
  <c r="O66" i="2" s="1"/>
  <c r="Q11" i="2"/>
  <c r="U11" i="2" s="1"/>
  <c r="U61" i="2"/>
  <c r="U76" i="2"/>
  <c r="N76" i="2" s="1"/>
  <c r="AH5" i="1"/>
  <c r="AI5" i="1"/>
  <c r="AE89" i="1"/>
  <c r="AL89" i="1"/>
  <c r="AA89" i="1"/>
  <c r="AA5" i="1"/>
  <c r="AE5" i="1" s="1"/>
  <c r="AK27" i="1"/>
  <c r="AA29" i="1"/>
  <c r="K29" i="1" s="1"/>
  <c r="AL34" i="1"/>
  <c r="AK34" i="1"/>
  <c r="AL44" i="1"/>
  <c r="AK44" i="1"/>
  <c r="AA44" i="1"/>
  <c r="AE47" i="1"/>
  <c r="K47" i="1" s="1"/>
  <c r="AL47" i="1"/>
  <c r="AK47" i="1"/>
  <c r="AE50" i="1"/>
  <c r="AL50" i="1"/>
  <c r="AK50" i="1"/>
  <c r="AA50" i="1"/>
  <c r="AE52" i="1"/>
  <c r="AL52" i="1"/>
  <c r="AK52" i="1"/>
  <c r="AA52" i="1"/>
  <c r="U60" i="1"/>
  <c r="U68" i="1"/>
  <c r="N68" i="1" s="1"/>
  <c r="AA55" i="1"/>
  <c r="AA23" i="1"/>
  <c r="AL24" i="1"/>
  <c r="AE27" i="1"/>
  <c r="K27" i="1" s="1"/>
  <c r="AK29" i="1"/>
  <c r="AA31" i="1"/>
  <c r="AL32" i="1"/>
  <c r="AL39" i="1"/>
  <c r="AK39" i="1"/>
  <c r="AK45" i="1"/>
  <c r="AE63" i="1"/>
  <c r="K63" i="1" s="1"/>
  <c r="AL63" i="1"/>
  <c r="AK63" i="1"/>
  <c r="AE92" i="1"/>
  <c r="AK92" i="1"/>
  <c r="AA92" i="1"/>
  <c r="AL92" i="1"/>
  <c r="AE24" i="1"/>
  <c r="K24" i="1" s="1"/>
  <c r="AK26" i="1"/>
  <c r="AA28" i="1"/>
  <c r="AL29" i="1"/>
  <c r="AE32" i="1"/>
  <c r="AL35" i="1"/>
  <c r="AE37" i="1"/>
  <c r="AL37" i="1"/>
  <c r="U50" i="1"/>
  <c r="N50" i="1" s="1"/>
  <c r="V53" i="1"/>
  <c r="O53" i="1" s="1"/>
  <c r="AE76" i="1"/>
  <c r="AL76" i="1"/>
  <c r="AK76" i="1"/>
  <c r="AA76" i="1"/>
  <c r="AE45" i="1"/>
  <c r="K45" i="1" s="1"/>
  <c r="AL45" i="1"/>
  <c r="AK23" i="1"/>
  <c r="AL26" i="1"/>
  <c r="AK31" i="1"/>
  <c r="AA36" i="1"/>
  <c r="AE40" i="1"/>
  <c r="U44" i="1"/>
  <c r="N44" i="1" s="1"/>
  <c r="V58" i="1"/>
  <c r="U63" i="1"/>
  <c r="U76" i="1"/>
  <c r="AE55" i="1"/>
  <c r="AL55" i="1"/>
  <c r="AK55" i="1"/>
  <c r="AL23" i="1"/>
  <c r="AL31" i="1"/>
  <c r="AE34" i="1"/>
  <c r="K34" i="1" s="1"/>
  <c r="AE44" i="1"/>
  <c r="V50" i="1"/>
  <c r="AG105" i="1"/>
  <c r="AE23" i="1"/>
  <c r="AE31" i="1"/>
  <c r="U39" i="1"/>
  <c r="V61" i="1"/>
  <c r="O61" i="1" s="1"/>
  <c r="I105" i="1"/>
  <c r="AE42" i="1"/>
  <c r="K42" i="1" s="1"/>
  <c r="AL42" i="1"/>
  <c r="AK42" i="1"/>
  <c r="AE58" i="1"/>
  <c r="AL58" i="1"/>
  <c r="AK58" i="1"/>
  <c r="AA58" i="1"/>
  <c r="AE60" i="1"/>
  <c r="AL60" i="1"/>
  <c r="AK60" i="1"/>
  <c r="AA60" i="1"/>
  <c r="AE68" i="1"/>
  <c r="AL68" i="1"/>
  <c r="AK68" i="1"/>
  <c r="AA68" i="1"/>
  <c r="AE82" i="1"/>
  <c r="U94" i="1"/>
  <c r="N94" i="1" s="1"/>
  <c r="U100" i="1"/>
  <c r="U86" i="1"/>
  <c r="N86" i="1" s="1"/>
  <c r="AE48" i="1"/>
  <c r="AL53" i="1"/>
  <c r="AE56" i="1"/>
  <c r="K56" i="1" s="1"/>
  <c r="AL61" i="1"/>
  <c r="N64" i="1"/>
  <c r="AE64" i="1"/>
  <c r="K64" i="1" s="1"/>
  <c r="AK66" i="1"/>
  <c r="AL69" i="1"/>
  <c r="AE72" i="1"/>
  <c r="K72" i="1" s="1"/>
  <c r="AK74" i="1"/>
  <c r="AL77" i="1"/>
  <c r="AE80" i="1"/>
  <c r="K80" i="1" s="1"/>
  <c r="AE53" i="1"/>
  <c r="K53" i="1" s="1"/>
  <c r="AE61" i="1"/>
  <c r="AL66" i="1"/>
  <c r="AK71" i="1"/>
  <c r="AA73" i="1"/>
  <c r="AL74" i="1"/>
  <c r="AK79" i="1"/>
  <c r="AA81" i="1"/>
  <c r="U84" i="1"/>
  <c r="AL86" i="1"/>
  <c r="AK86" i="1"/>
  <c r="AA86" i="1"/>
  <c r="K86" i="1" s="1"/>
  <c r="AA88" i="1"/>
  <c r="AE88" i="1"/>
  <c r="AL94" i="1"/>
  <c r="AK94" i="1"/>
  <c r="AA94" i="1"/>
  <c r="K94" i="1" s="1"/>
  <c r="V98" i="1"/>
  <c r="AE103" i="1"/>
  <c r="K103" i="1" s="1"/>
  <c r="AL103" i="1"/>
  <c r="AK103" i="1"/>
  <c r="AE66" i="1"/>
  <c r="K66" i="1" s="1"/>
  <c r="AL71" i="1"/>
  <c r="AE74" i="1"/>
  <c r="K74" i="1" s="1"/>
  <c r="AL79" i="1"/>
  <c r="AA85" i="1"/>
  <c r="AL95" i="1"/>
  <c r="AK95" i="1"/>
  <c r="AI95" i="1"/>
  <c r="I105" i="2"/>
  <c r="AA5" i="2"/>
  <c r="AE5" i="2" s="1"/>
  <c r="AF5" i="2" s="1"/>
  <c r="AE71" i="1"/>
  <c r="K71" i="1" s="1"/>
  <c r="AE79" i="1"/>
  <c r="K79" i="1" s="1"/>
  <c r="AK81" i="1"/>
  <c r="AA82" i="1"/>
  <c r="AK82" i="1"/>
  <c r="AE85" i="1"/>
  <c r="AA96" i="1"/>
  <c r="AE96" i="1"/>
  <c r="U5" i="2"/>
  <c r="AH5" i="2" s="1"/>
  <c r="V19" i="2"/>
  <c r="V31" i="2"/>
  <c r="AL82" i="1"/>
  <c r="AK84" i="1"/>
  <c r="AE84" i="1"/>
  <c r="AL87" i="1"/>
  <c r="AE100" i="1"/>
  <c r="AL100" i="1"/>
  <c r="AK100" i="1"/>
  <c r="AA100" i="1"/>
  <c r="AI104" i="1"/>
  <c r="AG105" i="2"/>
  <c r="AK25" i="2"/>
  <c r="AE25" i="2"/>
  <c r="U35" i="2"/>
  <c r="N35" i="2" s="1"/>
  <c r="AE104" i="1"/>
  <c r="K104" i="1" s="1"/>
  <c r="AL28" i="2"/>
  <c r="AE33" i="2"/>
  <c r="K33" i="2" s="1"/>
  <c r="AL33" i="2"/>
  <c r="AK33" i="2"/>
  <c r="AE58" i="2"/>
  <c r="AL58" i="2"/>
  <c r="AK58" i="2"/>
  <c r="O104" i="1"/>
  <c r="AE36" i="2"/>
  <c r="AL36" i="2"/>
  <c r="AA102" i="1"/>
  <c r="V27" i="2"/>
  <c r="AA36" i="2"/>
  <c r="V39" i="2"/>
  <c r="U47" i="2"/>
  <c r="N47" i="2" s="1"/>
  <c r="AA25" i="2"/>
  <c r="AL25" i="2"/>
  <c r="AL27" i="2"/>
  <c r="AK27" i="2"/>
  <c r="AA27" i="2"/>
  <c r="AE27" i="2"/>
  <c r="AE30" i="2"/>
  <c r="K30" i="2" s="1"/>
  <c r="AL30" i="2"/>
  <c r="AL35" i="2"/>
  <c r="AK35" i="2"/>
  <c r="AA35" i="2"/>
  <c r="AK41" i="2"/>
  <c r="AA41" i="2"/>
  <c r="K41" i="2" s="1"/>
  <c r="AL41" i="2"/>
  <c r="AL97" i="1"/>
  <c r="AK102" i="1"/>
  <c r="AA26" i="2"/>
  <c r="AA28" i="2"/>
  <c r="K28" i="2" s="1"/>
  <c r="AK28" i="2"/>
  <c r="AA24" i="2"/>
  <c r="AE26" i="2"/>
  <c r="AA29" i="2"/>
  <c r="AE29" i="2"/>
  <c r="AK30" i="2"/>
  <c r="V33" i="2"/>
  <c r="AE35" i="2"/>
  <c r="AA58" i="2"/>
  <c r="U49" i="2"/>
  <c r="N49" i="2" s="1"/>
  <c r="AE50" i="2"/>
  <c r="AE60" i="2"/>
  <c r="AL60" i="2"/>
  <c r="AK60" i="2"/>
  <c r="AA60" i="2"/>
  <c r="AE62" i="2"/>
  <c r="AA62" i="2"/>
  <c r="AK62" i="2"/>
  <c r="V47" i="2"/>
  <c r="O47" i="2" s="1"/>
  <c r="U60" i="2"/>
  <c r="N60" i="2" s="1"/>
  <c r="AE75" i="2"/>
  <c r="AL75" i="2"/>
  <c r="AK75" i="2"/>
  <c r="AA75" i="2"/>
  <c r="AL45" i="2"/>
  <c r="AE47" i="2"/>
  <c r="AL47" i="2"/>
  <c r="AL49" i="2"/>
  <c r="AK49" i="2"/>
  <c r="AE49" i="2"/>
  <c r="K49" i="2" s="1"/>
  <c r="AE52" i="2"/>
  <c r="AL52" i="2"/>
  <c r="AK52" i="2"/>
  <c r="AK54" i="2"/>
  <c r="AA54" i="2"/>
  <c r="K54" i="2" s="1"/>
  <c r="AL54" i="2"/>
  <c r="AA46" i="2"/>
  <c r="K46" i="2" s="1"/>
  <c r="AA50" i="2"/>
  <c r="AK50" i="2"/>
  <c r="AE55" i="2"/>
  <c r="AL55" i="2"/>
  <c r="AK55" i="2"/>
  <c r="AA55" i="2"/>
  <c r="U64" i="2"/>
  <c r="AE67" i="2"/>
  <c r="AL67" i="2"/>
  <c r="AA67" i="2"/>
  <c r="AK67" i="2"/>
  <c r="AK38" i="2"/>
  <c r="AE45" i="2"/>
  <c r="K45" i="2" s="1"/>
  <c r="AL50" i="2"/>
  <c r="AL38" i="2"/>
  <c r="AL44" i="2"/>
  <c r="AK44" i="2"/>
  <c r="AA52" i="2"/>
  <c r="AE42" i="2"/>
  <c r="U52" i="2"/>
  <c r="N52" i="2" s="1"/>
  <c r="U54" i="2"/>
  <c r="U63" i="2"/>
  <c r="N63" i="2" s="1"/>
  <c r="V72" i="2"/>
  <c r="AK99" i="2"/>
  <c r="AE99" i="2"/>
  <c r="AA99" i="2"/>
  <c r="AL99" i="2"/>
  <c r="AL66" i="2"/>
  <c r="AK66" i="2"/>
  <c r="AA66" i="2"/>
  <c r="AK63" i="2"/>
  <c r="AA63" i="2"/>
  <c r="K63" i="2" s="1"/>
  <c r="AE72" i="2"/>
  <c r="AL72" i="2"/>
  <c r="AK72" i="2"/>
  <c r="AL74" i="2"/>
  <c r="AK74" i="2"/>
  <c r="AA74" i="2"/>
  <c r="AA72" i="2"/>
  <c r="AL61" i="2"/>
  <c r="AK61" i="2"/>
  <c r="AL63" i="2"/>
  <c r="AE66" i="2"/>
  <c r="AE74" i="2"/>
  <c r="AA80" i="2"/>
  <c r="AE80" i="2"/>
  <c r="AK57" i="2"/>
  <c r="AE64" i="2"/>
  <c r="K64" i="2" s="1"/>
  <c r="AL64" i="2"/>
  <c r="AK64" i="2"/>
  <c r="U72" i="2"/>
  <c r="N72" i="2" s="1"/>
  <c r="U74" i="2"/>
  <c r="N74" i="2" s="1"/>
  <c r="AE77" i="2"/>
  <c r="AL77" i="2"/>
  <c r="AA77" i="2"/>
  <c r="AA96" i="2"/>
  <c r="AE96" i="2"/>
  <c r="AK96" i="2"/>
  <c r="V67" i="2"/>
  <c r="O67" i="2" s="1"/>
  <c r="AE69" i="2"/>
  <c r="K69" i="2" s="1"/>
  <c r="AL69" i="2"/>
  <c r="AK69" i="2"/>
  <c r="V78" i="2"/>
  <c r="U83" i="2"/>
  <c r="V86" i="2"/>
  <c r="M86" i="2" s="1"/>
  <c r="AE92" i="2"/>
  <c r="AA92" i="2"/>
  <c r="AL92" i="2"/>
  <c r="AL95" i="2"/>
  <c r="AE70" i="2"/>
  <c r="AA95" i="2"/>
  <c r="K95" i="2" s="1"/>
  <c r="AK103" i="2"/>
  <c r="AA71" i="2"/>
  <c r="AA76" i="2"/>
  <c r="K76" i="2" s="1"/>
  <c r="V90" i="2"/>
  <c r="AE100" i="2"/>
  <c r="AA100" i="2"/>
  <c r="AL100" i="2"/>
  <c r="AL103" i="2"/>
  <c r="AK83" i="2"/>
  <c r="AA104" i="2"/>
  <c r="AE104" i="2"/>
  <c r="AL104" i="2"/>
  <c r="V77" i="2"/>
  <c r="AK79" i="2"/>
  <c r="V85" i="2"/>
  <c r="AK87" i="2"/>
  <c r="V98" i="2"/>
  <c r="U99" i="2"/>
  <c r="V102" i="2"/>
  <c r="AE84" i="2"/>
  <c r="AA84" i="2"/>
  <c r="AL84" i="2"/>
  <c r="AK91" i="2"/>
  <c r="AA88" i="2"/>
  <c r="AE88" i="2"/>
  <c r="AL88" i="2"/>
  <c r="AL91" i="2"/>
  <c r="AK95" i="2"/>
  <c r="AE81" i="2"/>
  <c r="K81" i="2" s="1"/>
  <c r="AA85" i="2"/>
  <c r="K85" i="2" s="1"/>
  <c r="AA93" i="2"/>
  <c r="K93" i="2" s="1"/>
  <c r="AA101" i="2"/>
  <c r="K101" i="2" s="1"/>
  <c r="AK82" i="2"/>
  <c r="AL85" i="2"/>
  <c r="AK90" i="2"/>
  <c r="AL93" i="2"/>
  <c r="AL101" i="2"/>
  <c r="AJ22" i="1" l="1"/>
  <c r="J22" i="1" s="1"/>
  <c r="AH95" i="1"/>
  <c r="AJ95" i="1" s="1"/>
  <c r="J95" i="1" s="1"/>
  <c r="M52" i="2"/>
  <c r="N73" i="2"/>
  <c r="AI79" i="2"/>
  <c r="X79" i="2"/>
  <c r="N24" i="1"/>
  <c r="O84" i="1"/>
  <c r="O62" i="1"/>
  <c r="M33" i="1"/>
  <c r="O72" i="1"/>
  <c r="O52" i="1"/>
  <c r="M52" i="1"/>
  <c r="N70" i="1"/>
  <c r="L24" i="1"/>
  <c r="L64" i="1"/>
  <c r="M95" i="1"/>
  <c r="L95" i="1"/>
  <c r="M78" i="1"/>
  <c r="X72" i="1"/>
  <c r="W6" i="1"/>
  <c r="U7" i="1"/>
  <c r="W7" i="1" s="1"/>
  <c r="Q8" i="1"/>
  <c r="L73" i="2"/>
  <c r="O52" i="2"/>
  <c r="N53" i="1"/>
  <c r="L40" i="1"/>
  <c r="AH40" i="1"/>
  <c r="AJ40" i="1" s="1"/>
  <c r="J40" i="1" s="1"/>
  <c r="W40" i="1"/>
  <c r="M82" i="1"/>
  <c r="AI88" i="1"/>
  <c r="O56" i="1"/>
  <c r="M38" i="1"/>
  <c r="AI38" i="1"/>
  <c r="X73" i="1"/>
  <c r="O82" i="1"/>
  <c r="W41" i="1"/>
  <c r="L87" i="2"/>
  <c r="N89" i="2"/>
  <c r="W34" i="2"/>
  <c r="N31" i="2"/>
  <c r="AH56" i="2"/>
  <c r="AJ56" i="2" s="1"/>
  <c r="J56" i="2" s="1"/>
  <c r="N85" i="2"/>
  <c r="O49" i="1"/>
  <c r="X65" i="2"/>
  <c r="N69" i="2"/>
  <c r="W48" i="1"/>
  <c r="O35" i="1"/>
  <c r="O64" i="1"/>
  <c r="X83" i="1"/>
  <c r="O41" i="1"/>
  <c r="O83" i="1"/>
  <c r="M35" i="1"/>
  <c r="X57" i="1"/>
  <c r="L53" i="1"/>
  <c r="L69" i="1"/>
  <c r="AH26" i="1"/>
  <c r="AJ26" i="1" s="1"/>
  <c r="J26" i="1" s="1"/>
  <c r="N78" i="1"/>
  <c r="M83" i="1"/>
  <c r="O91" i="1"/>
  <c r="O78" i="1"/>
  <c r="X79" i="1"/>
  <c r="X49" i="1"/>
  <c r="M62" i="1"/>
  <c r="M41" i="1"/>
  <c r="N61" i="1"/>
  <c r="N80" i="1"/>
  <c r="L61" i="1"/>
  <c r="AH58" i="1"/>
  <c r="AJ58" i="1" s="1"/>
  <c r="J58" i="1" s="1"/>
  <c r="W61" i="1"/>
  <c r="X84" i="1"/>
  <c r="X85" i="1"/>
  <c r="U12" i="1"/>
  <c r="W12" i="1" s="1"/>
  <c r="R13" i="1"/>
  <c r="U13" i="1" s="1"/>
  <c r="K83" i="1"/>
  <c r="M77" i="1"/>
  <c r="L42" i="1"/>
  <c r="M84" i="1"/>
  <c r="M60" i="1"/>
  <c r="O68" i="1"/>
  <c r="AH84" i="2"/>
  <c r="AJ84" i="2" s="1"/>
  <c r="J84" i="2" s="1"/>
  <c r="N42" i="2"/>
  <c r="W78" i="2"/>
  <c r="N77" i="2"/>
  <c r="AH77" i="2"/>
  <c r="AJ77" i="2" s="1"/>
  <c r="J77" i="2" s="1"/>
  <c r="O93" i="2"/>
  <c r="L42" i="2"/>
  <c r="N68" i="2"/>
  <c r="M81" i="1"/>
  <c r="AH46" i="2"/>
  <c r="AJ46" i="2" s="1"/>
  <c r="J46" i="2" s="1"/>
  <c r="L34" i="1"/>
  <c r="AI92" i="1"/>
  <c r="AI28" i="1"/>
  <c r="AH93" i="1"/>
  <c r="AJ93" i="1" s="1"/>
  <c r="J93" i="1" s="1"/>
  <c r="M54" i="1"/>
  <c r="X97" i="1"/>
  <c r="M97" i="1"/>
  <c r="X96" i="1"/>
  <c r="AI53" i="2"/>
  <c r="M30" i="2"/>
  <c r="N94" i="2"/>
  <c r="W69" i="2"/>
  <c r="L91" i="2"/>
  <c r="O96" i="1"/>
  <c r="M47" i="1"/>
  <c r="O97" i="1"/>
  <c r="M29" i="1"/>
  <c r="L103" i="1"/>
  <c r="AH72" i="1"/>
  <c r="AJ72" i="1" s="1"/>
  <c r="J72" i="1" s="1"/>
  <c r="N81" i="1"/>
  <c r="W98" i="1"/>
  <c r="N103" i="1"/>
  <c r="L81" i="1"/>
  <c r="AI96" i="1"/>
  <c r="O85" i="1"/>
  <c r="O75" i="1"/>
  <c r="AH69" i="1"/>
  <c r="AJ69" i="1" s="1"/>
  <c r="J69" i="1" s="1"/>
  <c r="N34" i="1"/>
  <c r="W81" i="1"/>
  <c r="M45" i="1"/>
  <c r="L52" i="1"/>
  <c r="N69" i="1"/>
  <c r="L102" i="1"/>
  <c r="AI101" i="1"/>
  <c r="AH87" i="1"/>
  <c r="AJ87" i="1" s="1"/>
  <c r="J87" i="1" s="1"/>
  <c r="AI32" i="1"/>
  <c r="AH31" i="1"/>
  <c r="AJ31" i="1" s="1"/>
  <c r="J31" i="1" s="1"/>
  <c r="W93" i="1"/>
  <c r="W23" i="1"/>
  <c r="W21" i="1"/>
  <c r="O54" i="1"/>
  <c r="N98" i="1"/>
  <c r="W104" i="1"/>
  <c r="N104" i="1"/>
  <c r="AI40" i="1"/>
  <c r="AH56" i="1"/>
  <c r="AJ56" i="1" s="1"/>
  <c r="J56" i="1" s="1"/>
  <c r="W22" i="1"/>
  <c r="L104" i="1"/>
  <c r="AH33" i="2"/>
  <c r="AJ33" i="2" s="1"/>
  <c r="J33" i="2" s="1"/>
  <c r="N88" i="2"/>
  <c r="L45" i="2"/>
  <c r="N45" i="2"/>
  <c r="W101" i="2"/>
  <c r="L98" i="2"/>
  <c r="N33" i="2"/>
  <c r="U7" i="2"/>
  <c r="Q8" i="2"/>
  <c r="W88" i="2"/>
  <c r="M44" i="2"/>
  <c r="AI36" i="2"/>
  <c r="M91" i="2"/>
  <c r="M79" i="2"/>
  <c r="M95" i="2"/>
  <c r="O35" i="2"/>
  <c r="X80" i="2"/>
  <c r="M71" i="2"/>
  <c r="AI64" i="2"/>
  <c r="X53" i="2"/>
  <c r="AI91" i="2"/>
  <c r="O71" i="2"/>
  <c r="X91" i="2"/>
  <c r="W89" i="2"/>
  <c r="AH76" i="2"/>
  <c r="AJ76" i="2" s="1"/>
  <c r="J76" i="2" s="1"/>
  <c r="L28" i="2"/>
  <c r="O30" i="2"/>
  <c r="AH78" i="2"/>
  <c r="AJ78" i="2" s="1"/>
  <c r="J78" i="2" s="1"/>
  <c r="N101" i="2"/>
  <c r="W76" i="2"/>
  <c r="W77" i="2"/>
  <c r="N27" i="2"/>
  <c r="X23" i="2"/>
  <c r="L94" i="2"/>
  <c r="L101" i="2"/>
  <c r="AH75" i="2"/>
  <c r="AJ75" i="2" s="1"/>
  <c r="J75" i="2" s="1"/>
  <c r="L88" i="2"/>
  <c r="K42" i="2"/>
  <c r="K97" i="2"/>
  <c r="L96" i="2"/>
  <c r="M93" i="2"/>
  <c r="N55" i="2"/>
  <c r="AH36" i="2"/>
  <c r="AJ36" i="2" s="1"/>
  <c r="J36" i="2" s="1"/>
  <c r="N36" i="2"/>
  <c r="L33" i="2"/>
  <c r="X12" i="2"/>
  <c r="L71" i="2"/>
  <c r="X92" i="1"/>
  <c r="X20" i="1"/>
  <c r="X41" i="1"/>
  <c r="M28" i="1"/>
  <c r="X28" i="1"/>
  <c r="M27" i="1"/>
  <c r="O27" i="1"/>
  <c r="M104" i="1"/>
  <c r="M42" i="1"/>
  <c r="M92" i="1"/>
  <c r="M72" i="1"/>
  <c r="M49" i="1"/>
  <c r="M40" i="1"/>
  <c r="M88" i="1"/>
  <c r="X103" i="1"/>
  <c r="AH65" i="1"/>
  <c r="AJ65" i="1" s="1"/>
  <c r="J65" i="1" s="1"/>
  <c r="O103" i="1"/>
  <c r="X25" i="1"/>
  <c r="X95" i="1"/>
  <c r="O31" i="1"/>
  <c r="AI59" i="1"/>
  <c r="X59" i="1"/>
  <c r="AI25" i="1"/>
  <c r="M25" i="1"/>
  <c r="AI103" i="1"/>
  <c r="O55" i="1"/>
  <c r="X104" i="1"/>
  <c r="M103" i="1"/>
  <c r="O102" i="1"/>
  <c r="M31" i="1"/>
  <c r="X102" i="1"/>
  <c r="M59" i="1"/>
  <c r="W103" i="1"/>
  <c r="N102" i="1"/>
  <c r="L65" i="1"/>
  <c r="W56" i="1"/>
  <c r="L56" i="1"/>
  <c r="O73" i="1"/>
  <c r="X33" i="1"/>
  <c r="M56" i="1"/>
  <c r="L98" i="1"/>
  <c r="W77" i="1"/>
  <c r="L33" i="1"/>
  <c r="L87" i="1"/>
  <c r="L72" i="1"/>
  <c r="W43" i="1"/>
  <c r="W78" i="1"/>
  <c r="W52" i="1"/>
  <c r="AI57" i="1"/>
  <c r="L32" i="1"/>
  <c r="X77" i="1"/>
  <c r="L26" i="1"/>
  <c r="L78" i="1"/>
  <c r="O69" i="1"/>
  <c r="M76" i="1"/>
  <c r="O47" i="1"/>
  <c r="AH48" i="1"/>
  <c r="AJ48" i="1" s="1"/>
  <c r="J48" i="1" s="1"/>
  <c r="M94" i="1"/>
  <c r="N29" i="1"/>
  <c r="N77" i="1"/>
  <c r="W34" i="1"/>
  <c r="AI34" i="1"/>
  <c r="O67" i="1"/>
  <c r="AH90" i="1"/>
  <c r="AJ90" i="1" s="1"/>
  <c r="J90" i="1" s="1"/>
  <c r="N51" i="1"/>
  <c r="O94" i="1"/>
  <c r="N48" i="1"/>
  <c r="L29" i="1"/>
  <c r="W70" i="1"/>
  <c r="X35" i="1"/>
  <c r="W32" i="1"/>
  <c r="X34" i="1"/>
  <c r="L51" i="1"/>
  <c r="L70" i="1"/>
  <c r="X29" i="1"/>
  <c r="X76" i="1"/>
  <c r="N32" i="1"/>
  <c r="N33" i="1"/>
  <c r="O33" i="1"/>
  <c r="M34" i="1"/>
  <c r="W33" i="1"/>
  <c r="AI33" i="1"/>
  <c r="L100" i="1"/>
  <c r="O76" i="1"/>
  <c r="M57" i="1"/>
  <c r="M67" i="1"/>
  <c r="M73" i="2"/>
  <c r="O40" i="2"/>
  <c r="M40" i="2"/>
  <c r="O73" i="2"/>
  <c r="M32" i="2"/>
  <c r="X101" i="2"/>
  <c r="X73" i="2"/>
  <c r="X32" i="2"/>
  <c r="M103" i="2"/>
  <c r="O103" i="2"/>
  <c r="X103" i="2"/>
  <c r="AI83" i="2"/>
  <c r="X40" i="2"/>
  <c r="M101" i="2"/>
  <c r="O32" i="2"/>
  <c r="O101" i="2"/>
  <c r="N32" i="2"/>
  <c r="L80" i="2"/>
  <c r="N80" i="2"/>
  <c r="L32" i="2"/>
  <c r="W103" i="2"/>
  <c r="W29" i="2"/>
  <c r="N29" i="2"/>
  <c r="N102" i="2"/>
  <c r="L69" i="2"/>
  <c r="AI80" i="2"/>
  <c r="O61" i="2"/>
  <c r="X62" i="2"/>
  <c r="M88" i="2"/>
  <c r="O99" i="2"/>
  <c r="O80" i="2"/>
  <c r="M61" i="2"/>
  <c r="M80" i="2"/>
  <c r="X22" i="2"/>
  <c r="AI88" i="2"/>
  <c r="X96" i="2"/>
  <c r="M99" i="2"/>
  <c r="L53" i="2"/>
  <c r="W32" i="2"/>
  <c r="L89" i="2"/>
  <c r="W102" i="2"/>
  <c r="L66" i="2"/>
  <c r="N87" i="2"/>
  <c r="L56" i="2"/>
  <c r="L31" i="2"/>
  <c r="L34" i="2"/>
  <c r="N51" i="2"/>
  <c r="L51" i="2"/>
  <c r="L29" i="2"/>
  <c r="N34" i="2"/>
  <c r="L103" i="2"/>
  <c r="L85" i="2"/>
  <c r="N53" i="2"/>
  <c r="L102" i="2"/>
  <c r="W67" i="2"/>
  <c r="N96" i="2"/>
  <c r="O26" i="2"/>
  <c r="N81" i="2"/>
  <c r="AI100" i="2"/>
  <c r="W81" i="2"/>
  <c r="AI89" i="2"/>
  <c r="X93" i="2"/>
  <c r="AI65" i="2"/>
  <c r="L57" i="2"/>
  <c r="N71" i="2"/>
  <c r="AI97" i="2"/>
  <c r="N50" i="2"/>
  <c r="M100" i="2"/>
  <c r="O87" i="2"/>
  <c r="O104" i="2"/>
  <c r="X100" i="2"/>
  <c r="O96" i="2"/>
  <c r="M97" i="2"/>
  <c r="W57" i="2"/>
  <c r="L27" i="2"/>
  <c r="W58" i="2"/>
  <c r="X97" i="2"/>
  <c r="L44" i="2"/>
  <c r="N98" i="2"/>
  <c r="O62" i="2"/>
  <c r="O65" i="2"/>
  <c r="M65" i="2"/>
  <c r="O38" i="2"/>
  <c r="W79" i="2"/>
  <c r="O43" i="2"/>
  <c r="M62" i="2"/>
  <c r="W28" i="2"/>
  <c r="K61" i="1"/>
  <c r="X69" i="1"/>
  <c r="W82" i="1"/>
  <c r="X60" i="1"/>
  <c r="AI73" i="1"/>
  <c r="L31" i="1"/>
  <c r="N45" i="1"/>
  <c r="AH82" i="1"/>
  <c r="AJ82" i="1" s="1"/>
  <c r="J82" i="1" s="1"/>
  <c r="X32" i="1"/>
  <c r="X30" i="1"/>
  <c r="M73" i="1"/>
  <c r="AH43" i="1"/>
  <c r="AJ43" i="1" s="1"/>
  <c r="J43" i="1" s="1"/>
  <c r="L43" i="1"/>
  <c r="L101" i="1"/>
  <c r="M87" i="1"/>
  <c r="M86" i="1"/>
  <c r="X82" i="1"/>
  <c r="O81" i="1"/>
  <c r="X56" i="1"/>
  <c r="X55" i="1"/>
  <c r="M23" i="1"/>
  <c r="AH52" i="1"/>
  <c r="AJ52" i="1" s="1"/>
  <c r="J52" i="1" s="1"/>
  <c r="O45" i="1"/>
  <c r="AI77" i="1"/>
  <c r="AI29" i="1"/>
  <c r="L46" i="1"/>
  <c r="L38" i="1"/>
  <c r="X36" i="1"/>
  <c r="O24" i="1"/>
  <c r="M68" i="1"/>
  <c r="M24" i="1"/>
  <c r="W102" i="1"/>
  <c r="O87" i="1"/>
  <c r="X87" i="1"/>
  <c r="M69" i="1"/>
  <c r="N101" i="1"/>
  <c r="O60" i="1"/>
  <c r="O77" i="1"/>
  <c r="O29" i="1"/>
  <c r="X45" i="1"/>
  <c r="M36" i="1"/>
  <c r="O36" i="1"/>
  <c r="N38" i="1"/>
  <c r="N67" i="1"/>
  <c r="L93" i="1"/>
  <c r="W16" i="1"/>
  <c r="L45" i="1"/>
  <c r="AI24" i="1"/>
  <c r="M79" i="1"/>
  <c r="X68" i="1"/>
  <c r="X78" i="1"/>
  <c r="X52" i="1"/>
  <c r="AI48" i="1"/>
  <c r="AI79" i="1"/>
  <c r="N65" i="1"/>
  <c r="M32" i="1"/>
  <c r="N46" i="1"/>
  <c r="L62" i="1"/>
  <c r="W66" i="1"/>
  <c r="L82" i="1"/>
  <c r="W101" i="1"/>
  <c r="W46" i="1"/>
  <c r="O79" i="1"/>
  <c r="M55" i="1"/>
  <c r="L85" i="1"/>
  <c r="K86" i="2"/>
  <c r="L81" i="2"/>
  <c r="K98" i="2"/>
  <c r="AI96" i="2"/>
  <c r="M38" i="2"/>
  <c r="L50" i="2"/>
  <c r="AH62" i="2"/>
  <c r="AJ62" i="2" s="1"/>
  <c r="J62" i="2" s="1"/>
  <c r="W21" i="2"/>
  <c r="O44" i="2"/>
  <c r="M43" i="2"/>
  <c r="L65" i="2"/>
  <c r="AI26" i="2"/>
  <c r="W62" i="2"/>
  <c r="N78" i="2"/>
  <c r="X54" i="2"/>
  <c r="AI95" i="2"/>
  <c r="M104" i="2"/>
  <c r="O54" i="2"/>
  <c r="M56" i="2"/>
  <c r="AI28" i="2"/>
  <c r="X13" i="2"/>
  <c r="M36" i="2"/>
  <c r="AI62" i="2"/>
  <c r="L75" i="2"/>
  <c r="O56" i="2"/>
  <c r="L78" i="2"/>
  <c r="X104" i="2"/>
  <c r="L82" i="2"/>
  <c r="W82" i="2"/>
  <c r="L62" i="2"/>
  <c r="W51" i="2"/>
  <c r="M28" i="2"/>
  <c r="N82" i="2"/>
  <c r="M54" i="2"/>
  <c r="X44" i="2"/>
  <c r="K91" i="1"/>
  <c r="K32" i="2"/>
  <c r="AJ5" i="2"/>
  <c r="K47" i="2"/>
  <c r="K70" i="2"/>
  <c r="AK5" i="1"/>
  <c r="AL5" i="1" s="1"/>
  <c r="K28" i="1"/>
  <c r="K37" i="1"/>
  <c r="M82" i="2"/>
  <c r="O82" i="2"/>
  <c r="W56" i="2"/>
  <c r="W55" i="2"/>
  <c r="L55" i="2"/>
  <c r="X15" i="2"/>
  <c r="X14" i="2"/>
  <c r="L68" i="2"/>
  <c r="L46" i="2"/>
  <c r="M53" i="2"/>
  <c r="L61" i="2"/>
  <c r="N61" i="2"/>
  <c r="AH61" i="2"/>
  <c r="AJ61" i="2" s="1"/>
  <c r="J61" i="2" s="1"/>
  <c r="AH58" i="2"/>
  <c r="AJ58" i="2" s="1"/>
  <c r="J58" i="2" s="1"/>
  <c r="K78" i="2"/>
  <c r="AI70" i="2"/>
  <c r="X30" i="2"/>
  <c r="W18" i="2"/>
  <c r="W100" i="2"/>
  <c r="N100" i="2"/>
  <c r="L100" i="2"/>
  <c r="L58" i="2"/>
  <c r="W17" i="2"/>
  <c r="N58" i="2"/>
  <c r="K53" i="2"/>
  <c r="L79" i="2"/>
  <c r="L41" i="2"/>
  <c r="W11" i="2"/>
  <c r="N79" i="2"/>
  <c r="N67" i="2"/>
  <c r="N41" i="2"/>
  <c r="W41" i="2"/>
  <c r="M46" i="2"/>
  <c r="O51" i="2"/>
  <c r="O46" i="2"/>
  <c r="X83" i="2"/>
  <c r="M83" i="2"/>
  <c r="X9" i="2"/>
  <c r="X64" i="2"/>
  <c r="X46" i="2"/>
  <c r="X37" i="2"/>
  <c r="AI29" i="2"/>
  <c r="O58" i="2"/>
  <c r="X38" i="2"/>
  <c r="O37" i="2"/>
  <c r="M37" i="2"/>
  <c r="M69" i="2"/>
  <c r="W70" i="2"/>
  <c r="W68" i="2"/>
  <c r="W38" i="2"/>
  <c r="W16" i="2"/>
  <c r="L30" i="2"/>
  <c r="AH67" i="2"/>
  <c r="AJ67" i="2" s="1"/>
  <c r="J67" i="2" s="1"/>
  <c r="K56" i="2"/>
  <c r="W46" i="2"/>
  <c r="L67" i="2"/>
  <c r="L86" i="2"/>
  <c r="W87" i="2"/>
  <c r="N86" i="2"/>
  <c r="AH79" i="2"/>
  <c r="AJ79" i="2" s="1"/>
  <c r="J79" i="2" s="1"/>
  <c r="W80" i="2"/>
  <c r="AH38" i="2"/>
  <c r="AJ38" i="2" s="1"/>
  <c r="J38" i="2" s="1"/>
  <c r="W15" i="2"/>
  <c r="N57" i="2"/>
  <c r="N38" i="2"/>
  <c r="K57" i="2"/>
  <c r="O70" i="2"/>
  <c r="X94" i="2"/>
  <c r="O84" i="2"/>
  <c r="X29" i="2"/>
  <c r="W30" i="2"/>
  <c r="X25" i="2"/>
  <c r="K82" i="2"/>
  <c r="AI55" i="2"/>
  <c r="L38" i="2"/>
  <c r="X56" i="2"/>
  <c r="O25" i="2"/>
  <c r="X70" i="2"/>
  <c r="X55" i="2"/>
  <c r="M29" i="2"/>
  <c r="W31" i="2"/>
  <c r="X18" i="2"/>
  <c r="M68" i="2"/>
  <c r="X74" i="2"/>
  <c r="M55" i="2"/>
  <c r="W14" i="2"/>
  <c r="X50" i="2"/>
  <c r="O68" i="2"/>
  <c r="K90" i="2"/>
  <c r="O76" i="2"/>
  <c r="O74" i="2"/>
  <c r="X71" i="2"/>
  <c r="M84" i="2"/>
  <c r="X84" i="2"/>
  <c r="M25" i="2"/>
  <c r="X26" i="2"/>
  <c r="AH28" i="2"/>
  <c r="AJ28" i="2" s="1"/>
  <c r="J28" i="2" s="1"/>
  <c r="M76" i="2"/>
  <c r="M74" i="2"/>
  <c r="L63" i="2"/>
  <c r="N30" i="2"/>
  <c r="O94" i="2"/>
  <c r="M59" i="2"/>
  <c r="X92" i="2"/>
  <c r="W93" i="2"/>
  <c r="AI92" i="2"/>
  <c r="X75" i="2"/>
  <c r="AH93" i="2"/>
  <c r="AJ93" i="2" s="1"/>
  <c r="J93" i="2" s="1"/>
  <c r="N39" i="2"/>
  <c r="O45" i="2"/>
  <c r="X45" i="2"/>
  <c r="W12" i="2"/>
  <c r="W22" i="2"/>
  <c r="L48" i="2"/>
  <c r="M87" i="2"/>
  <c r="N48" i="2"/>
  <c r="W85" i="2"/>
  <c r="N84" i="2"/>
  <c r="X76" i="2"/>
  <c r="AH104" i="2"/>
  <c r="AJ104" i="2" s="1"/>
  <c r="J104" i="2" s="1"/>
  <c r="X59" i="2"/>
  <c r="O50" i="2"/>
  <c r="N25" i="2"/>
  <c r="AH40" i="2"/>
  <c r="AJ40" i="2" s="1"/>
  <c r="J40" i="2" s="1"/>
  <c r="L92" i="2"/>
  <c r="X88" i="2"/>
  <c r="N104" i="2"/>
  <c r="N92" i="2"/>
  <c r="W104" i="2"/>
  <c r="M50" i="2"/>
  <c r="AI59" i="2"/>
  <c r="N37" i="2"/>
  <c r="L25" i="2"/>
  <c r="W92" i="2"/>
  <c r="L39" i="2"/>
  <c r="M75" i="2"/>
  <c r="W37" i="2"/>
  <c r="O48" i="2"/>
  <c r="W13" i="2"/>
  <c r="N59" i="2"/>
  <c r="L95" i="2"/>
  <c r="AI48" i="2"/>
  <c r="W23" i="2"/>
  <c r="M81" i="2"/>
  <c r="M92" i="2"/>
  <c r="W94" i="2"/>
  <c r="X82" i="2"/>
  <c r="W40" i="2"/>
  <c r="AI45" i="2"/>
  <c r="X21" i="2"/>
  <c r="L93" i="2"/>
  <c r="L37" i="2"/>
  <c r="N93" i="2"/>
  <c r="AI75" i="2"/>
  <c r="W39" i="2"/>
  <c r="M45" i="2"/>
  <c r="L40" i="2"/>
  <c r="L59" i="2"/>
  <c r="W86" i="2"/>
  <c r="W71" i="2"/>
  <c r="K83" i="2"/>
  <c r="L76" i="2"/>
  <c r="X42" i="2"/>
  <c r="W27" i="2"/>
  <c r="N70" i="2"/>
  <c r="AH70" i="2"/>
  <c r="AJ70" i="2" s="1"/>
  <c r="J70" i="2" s="1"/>
  <c r="O41" i="2"/>
  <c r="M35" i="2"/>
  <c r="L26" i="2"/>
  <c r="W44" i="2"/>
  <c r="L70" i="2"/>
  <c r="W43" i="2"/>
  <c r="M41" i="2"/>
  <c r="W19" i="2"/>
  <c r="X41" i="2"/>
  <c r="N26" i="2"/>
  <c r="X17" i="2"/>
  <c r="W20" i="2"/>
  <c r="X36" i="2"/>
  <c r="O63" i="2"/>
  <c r="X63" i="2"/>
  <c r="M72" i="2"/>
  <c r="L97" i="2"/>
  <c r="W90" i="2"/>
  <c r="X60" i="2"/>
  <c r="O34" i="2"/>
  <c r="N43" i="2"/>
  <c r="X49" i="2"/>
  <c r="W25" i="2"/>
  <c r="W24" i="2"/>
  <c r="O60" i="2"/>
  <c r="W98" i="2"/>
  <c r="N90" i="2"/>
  <c r="O42" i="2"/>
  <c r="AI49" i="2"/>
  <c r="X24" i="2"/>
  <c r="X35" i="2"/>
  <c r="N65" i="2"/>
  <c r="O72" i="2"/>
  <c r="N97" i="2"/>
  <c r="W91" i="2"/>
  <c r="M60" i="2"/>
  <c r="AI42" i="2"/>
  <c r="X43" i="2"/>
  <c r="X52" i="2"/>
  <c r="W45" i="2"/>
  <c r="M51" i="2"/>
  <c r="M63" i="2"/>
  <c r="W97" i="2"/>
  <c r="M42" i="2"/>
  <c r="N44" i="2"/>
  <c r="X61" i="2"/>
  <c r="L90" i="2"/>
  <c r="M64" i="2"/>
  <c r="M66" i="2"/>
  <c r="M49" i="2"/>
  <c r="X51" i="2"/>
  <c r="L43" i="2"/>
  <c r="K39" i="2"/>
  <c r="W61" i="2"/>
  <c r="X87" i="2"/>
  <c r="W33" i="2"/>
  <c r="M77" i="2"/>
  <c r="L52" i="2"/>
  <c r="K73" i="2"/>
  <c r="W66" i="2"/>
  <c r="AH66" i="2"/>
  <c r="AJ66" i="2" s="1"/>
  <c r="J66" i="2" s="1"/>
  <c r="L47" i="2"/>
  <c r="M34" i="2"/>
  <c r="K40" i="2"/>
  <c r="W26" i="2"/>
  <c r="AH26" i="2"/>
  <c r="AJ26" i="2" s="1"/>
  <c r="J26" i="2" s="1"/>
  <c r="K89" i="2"/>
  <c r="X95" i="2"/>
  <c r="M94" i="2"/>
  <c r="W71" i="1"/>
  <c r="M101" i="1"/>
  <c r="W57" i="1"/>
  <c r="AI23" i="1"/>
  <c r="X75" i="1"/>
  <c r="AI74" i="1"/>
  <c r="M51" i="1"/>
  <c r="L68" i="1"/>
  <c r="W69" i="1"/>
  <c r="M74" i="1"/>
  <c r="X24" i="1"/>
  <c r="X47" i="1"/>
  <c r="X81" i="1"/>
  <c r="L97" i="1"/>
  <c r="O80" i="1"/>
  <c r="X80" i="1"/>
  <c r="X40" i="1"/>
  <c r="AI46" i="1"/>
  <c r="AI51" i="1"/>
  <c r="M26" i="1"/>
  <c r="X46" i="1"/>
  <c r="O90" i="1"/>
  <c r="M37" i="1"/>
  <c r="L75" i="1"/>
  <c r="X91" i="1"/>
  <c r="O71" i="1"/>
  <c r="M46" i="1"/>
  <c r="O37" i="1"/>
  <c r="X67" i="1"/>
  <c r="AH85" i="1"/>
  <c r="AJ85" i="1" s="1"/>
  <c r="J85" i="1" s="1"/>
  <c r="X43" i="1"/>
  <c r="X38" i="1"/>
  <c r="N85" i="1"/>
  <c r="X37" i="1"/>
  <c r="M80" i="1"/>
  <c r="N100" i="1"/>
  <c r="X51" i="1"/>
  <c r="N75" i="1"/>
  <c r="W75" i="1"/>
  <c r="K70" i="1"/>
  <c r="L67" i="1"/>
  <c r="O58" i="1"/>
  <c r="N42" i="1"/>
  <c r="L58" i="1"/>
  <c r="W36" i="1"/>
  <c r="L35" i="1"/>
  <c r="N35" i="1"/>
  <c r="N60" i="1"/>
  <c r="W35" i="1"/>
  <c r="N73" i="1"/>
  <c r="AH74" i="1"/>
  <c r="AJ74" i="1" s="1"/>
  <c r="J74" i="1" s="1"/>
  <c r="W18" i="1"/>
  <c r="L94" i="1"/>
  <c r="L83" i="1"/>
  <c r="W97" i="1"/>
  <c r="AH41" i="1"/>
  <c r="AJ41" i="1" s="1"/>
  <c r="J41" i="1" s="1"/>
  <c r="W79" i="1"/>
  <c r="AH96" i="1"/>
  <c r="AJ96" i="1" s="1"/>
  <c r="J96" i="1" s="1"/>
  <c r="K73" i="1"/>
  <c r="W96" i="1"/>
  <c r="N57" i="1"/>
  <c r="L60" i="1"/>
  <c r="L71" i="1"/>
  <c r="N55" i="1"/>
  <c r="L79" i="1"/>
  <c r="W47" i="1"/>
  <c r="N41" i="1"/>
  <c r="N97" i="1"/>
  <c r="W42" i="1"/>
  <c r="N22" i="1"/>
  <c r="N79" i="1"/>
  <c r="W83" i="1"/>
  <c r="W58" i="1"/>
  <c r="L41" i="1"/>
  <c r="L80" i="1"/>
  <c r="AH57" i="1"/>
  <c r="AJ57" i="1" s="1"/>
  <c r="J57" i="1" s="1"/>
  <c r="W59" i="1"/>
  <c r="L59" i="1"/>
  <c r="L49" i="1"/>
  <c r="N88" i="1"/>
  <c r="W72" i="1"/>
  <c r="N71" i="1"/>
  <c r="N83" i="1"/>
  <c r="W80" i="1"/>
  <c r="AH97" i="1"/>
  <c r="AJ97" i="1" s="1"/>
  <c r="J97" i="1" s="1"/>
  <c r="AH71" i="1"/>
  <c r="AJ71" i="1" s="1"/>
  <c r="J71" i="1" s="1"/>
  <c r="W73" i="1"/>
  <c r="N59" i="1"/>
  <c r="L57" i="1"/>
  <c r="L22" i="1"/>
  <c r="W25" i="1"/>
  <c r="W62" i="1"/>
  <c r="AH25" i="1"/>
  <c r="AJ25" i="1" s="1"/>
  <c r="J25" i="1" s="1"/>
  <c r="AH62" i="1"/>
  <c r="AJ62" i="1" s="1"/>
  <c r="J62" i="1" s="1"/>
  <c r="L96" i="1"/>
  <c r="AH89" i="1"/>
  <c r="AJ89" i="1" s="1"/>
  <c r="J89" i="1" s="1"/>
  <c r="W53" i="1"/>
  <c r="AH55" i="1"/>
  <c r="AJ55" i="1" s="1"/>
  <c r="J55" i="1" s="1"/>
  <c r="L25" i="1"/>
  <c r="W15" i="1"/>
  <c r="L99" i="1"/>
  <c r="W31" i="1"/>
  <c r="W30" i="1"/>
  <c r="L30" i="1"/>
  <c r="N66" i="1"/>
  <c r="L66" i="1"/>
  <c r="AH66" i="1"/>
  <c r="AJ66" i="1" s="1"/>
  <c r="J66" i="1" s="1"/>
  <c r="N76" i="1"/>
  <c r="W27" i="1"/>
  <c r="W26" i="1"/>
  <c r="N99" i="1"/>
  <c r="W67" i="1"/>
  <c r="N89" i="1"/>
  <c r="AH27" i="1"/>
  <c r="AJ27" i="1" s="1"/>
  <c r="J27" i="1" s="1"/>
  <c r="N30" i="1"/>
  <c r="W90" i="1"/>
  <c r="L55" i="1"/>
  <c r="W99" i="1"/>
  <c r="L90" i="1"/>
  <c r="L77" i="1"/>
  <c r="X21" i="1"/>
  <c r="M91" i="1"/>
  <c r="M75" i="1"/>
  <c r="O86" i="1"/>
  <c r="AI43" i="1"/>
  <c r="X94" i="1"/>
  <c r="M71" i="1"/>
  <c r="M66" i="1"/>
  <c r="X48" i="1"/>
  <c r="AI71" i="1"/>
  <c r="X19" i="1"/>
  <c r="AI85" i="1"/>
  <c r="O48" i="1"/>
  <c r="M64" i="1"/>
  <c r="O99" i="1"/>
  <c r="O43" i="1"/>
  <c r="M99" i="1"/>
  <c r="M48" i="1"/>
  <c r="M102" i="1"/>
  <c r="X88" i="1"/>
  <c r="M43" i="1"/>
  <c r="X86" i="1"/>
  <c r="AI66" i="1"/>
  <c r="X74" i="1"/>
  <c r="X64" i="1"/>
  <c r="AI39" i="1"/>
  <c r="M39" i="1"/>
  <c r="X99" i="1"/>
  <c r="X65" i="1"/>
  <c r="X66" i="1"/>
  <c r="M85" i="1"/>
  <c r="X39" i="1"/>
  <c r="K46" i="1"/>
  <c r="K81" i="1"/>
  <c r="K36" i="1"/>
  <c r="K87" i="1"/>
  <c r="K38" i="1"/>
  <c r="X100" i="1"/>
  <c r="AH47" i="1"/>
  <c r="AJ47" i="1" s="1"/>
  <c r="J47" i="1" s="1"/>
  <c r="X44" i="1"/>
  <c r="X23" i="1"/>
  <c r="X63" i="1"/>
  <c r="O100" i="1"/>
  <c r="O44" i="1"/>
  <c r="L92" i="1"/>
  <c r="M63" i="1"/>
  <c r="W20" i="1"/>
  <c r="W37" i="1"/>
  <c r="O70" i="1"/>
  <c r="N92" i="1"/>
  <c r="M44" i="1"/>
  <c r="M22" i="1"/>
  <c r="W19" i="1"/>
  <c r="L73" i="1"/>
  <c r="L54" i="1"/>
  <c r="X101" i="1"/>
  <c r="AH92" i="1"/>
  <c r="AJ92" i="1" s="1"/>
  <c r="J92" i="1" s="1"/>
  <c r="O63" i="1"/>
  <c r="L47" i="1"/>
  <c r="O22" i="1"/>
  <c r="X71" i="1"/>
  <c r="W17" i="1"/>
  <c r="W55" i="1"/>
  <c r="W54" i="1"/>
  <c r="M70" i="1"/>
  <c r="N47" i="1"/>
  <c r="X70" i="1"/>
  <c r="N54" i="1"/>
  <c r="M100" i="1"/>
  <c r="W95" i="1"/>
  <c r="L36" i="1"/>
  <c r="K84" i="1"/>
  <c r="K48" i="1"/>
  <c r="K35" i="1"/>
  <c r="K102" i="1"/>
  <c r="K99" i="1"/>
  <c r="K40" i="1"/>
  <c r="M90" i="1"/>
  <c r="M30" i="1"/>
  <c r="K71" i="2"/>
  <c r="K32" i="1"/>
  <c r="K82" i="1"/>
  <c r="K48" i="2"/>
  <c r="M93" i="1"/>
  <c r="K78" i="1"/>
  <c r="K102" i="2"/>
  <c r="AB5" i="2"/>
  <c r="K96" i="1"/>
  <c r="N74" i="1"/>
  <c r="L86" i="1"/>
  <c r="X93" i="1"/>
  <c r="W89" i="1"/>
  <c r="O26" i="1"/>
  <c r="O30" i="1"/>
  <c r="W28" i="1"/>
  <c r="X26" i="1"/>
  <c r="AH91" i="1"/>
  <c r="AJ91" i="1" s="1"/>
  <c r="J91" i="1" s="1"/>
  <c r="W91" i="1"/>
  <c r="L91" i="1"/>
  <c r="W92" i="1"/>
  <c r="M53" i="1"/>
  <c r="N23" i="1"/>
  <c r="W24" i="1"/>
  <c r="M89" i="1"/>
  <c r="N49" i="1"/>
  <c r="W49" i="1"/>
  <c r="N91" i="1"/>
  <c r="W74" i="1"/>
  <c r="X31" i="1"/>
  <c r="K23" i="1"/>
  <c r="X89" i="1"/>
  <c r="AI89" i="1"/>
  <c r="W88" i="1"/>
  <c r="AH37" i="1"/>
  <c r="AJ37" i="1" s="1"/>
  <c r="J37" i="1" s="1"/>
  <c r="AH23" i="1"/>
  <c r="AJ23" i="1" s="1"/>
  <c r="J23" i="1" s="1"/>
  <c r="X22" i="1"/>
  <c r="AH36" i="1"/>
  <c r="AJ36" i="1" s="1"/>
  <c r="J36" i="1" s="1"/>
  <c r="AH28" i="1"/>
  <c r="AJ28" i="1" s="1"/>
  <c r="J28" i="1" s="1"/>
  <c r="W29" i="1"/>
  <c r="X42" i="1"/>
  <c r="AI42" i="1"/>
  <c r="O93" i="1"/>
  <c r="L74" i="1"/>
  <c r="L88" i="1"/>
  <c r="X90" i="1"/>
  <c r="L23" i="1"/>
  <c r="X27" i="1"/>
  <c r="K52" i="1"/>
  <c r="W38" i="1"/>
  <c r="L37" i="1"/>
  <c r="N36" i="1"/>
  <c r="L28" i="1"/>
  <c r="V6" i="1"/>
  <c r="S7" i="1"/>
  <c r="M61" i="1"/>
  <c r="M58" i="1"/>
  <c r="W45" i="1"/>
  <c r="L27" i="1"/>
  <c r="X7" i="2"/>
  <c r="X8" i="2"/>
  <c r="M90" i="2"/>
  <c r="X10" i="2"/>
  <c r="M102" i="2"/>
  <c r="X6" i="2"/>
  <c r="AD6" i="2" s="1"/>
  <c r="X69" i="2"/>
  <c r="O69" i="2"/>
  <c r="O89" i="2"/>
  <c r="X89" i="2"/>
  <c r="M78" i="2"/>
  <c r="L74" i="2"/>
  <c r="X57" i="2"/>
  <c r="M27" i="2"/>
  <c r="AK5" i="2"/>
  <c r="X58" i="2"/>
  <c r="M57" i="2"/>
  <c r="L60" i="2"/>
  <c r="X16" i="2"/>
  <c r="AH95" i="2"/>
  <c r="AJ95" i="2" s="1"/>
  <c r="J95" i="2" s="1"/>
  <c r="W95" i="2"/>
  <c r="O81" i="2"/>
  <c r="X81" i="2"/>
  <c r="K72" i="2"/>
  <c r="O57" i="2"/>
  <c r="K25" i="2"/>
  <c r="W7" i="2"/>
  <c r="AI66" i="2"/>
  <c r="X66" i="2"/>
  <c r="W96" i="2"/>
  <c r="W59" i="2"/>
  <c r="M85" i="2"/>
  <c r="M47" i="2"/>
  <c r="AH91" i="2"/>
  <c r="AJ91" i="2" s="1"/>
  <c r="J91" i="2" s="1"/>
  <c r="N91" i="2"/>
  <c r="K99" i="2"/>
  <c r="K26" i="2"/>
  <c r="K36" i="2"/>
  <c r="M58" i="2"/>
  <c r="X11" i="2"/>
  <c r="W42" i="2"/>
  <c r="N103" i="2"/>
  <c r="AH103" i="2"/>
  <c r="AJ103" i="2" s="1"/>
  <c r="J103" i="2" s="1"/>
  <c r="K88" i="1"/>
  <c r="K80" i="2"/>
  <c r="K50" i="2"/>
  <c r="K77" i="2"/>
  <c r="K74" i="2"/>
  <c r="K55" i="1"/>
  <c r="K27" i="2"/>
  <c r="K84" i="2"/>
  <c r="K92" i="1"/>
  <c r="M98" i="2"/>
  <c r="AI98" i="2"/>
  <c r="O98" i="2"/>
  <c r="X98" i="2"/>
  <c r="N83" i="2"/>
  <c r="W83" i="2"/>
  <c r="AH83" i="2"/>
  <c r="AJ83" i="2" s="1"/>
  <c r="J83" i="2" s="1"/>
  <c r="W99" i="2"/>
  <c r="AH99" i="2"/>
  <c r="AJ99" i="2" s="1"/>
  <c r="J99" i="2" s="1"/>
  <c r="K92" i="2"/>
  <c r="W72" i="2"/>
  <c r="AH72" i="2"/>
  <c r="AJ72" i="2" s="1"/>
  <c r="J72" i="2" s="1"/>
  <c r="X99" i="2"/>
  <c r="N99" i="2"/>
  <c r="W50" i="2"/>
  <c r="X33" i="2"/>
  <c r="AI33" i="2"/>
  <c r="O33" i="2"/>
  <c r="L84" i="1"/>
  <c r="AH86" i="1"/>
  <c r="AJ86" i="1" s="1"/>
  <c r="J86" i="1" s="1"/>
  <c r="W86" i="1"/>
  <c r="W87" i="1"/>
  <c r="N39" i="1"/>
  <c r="M50" i="1"/>
  <c r="AJ5" i="1"/>
  <c r="K66" i="2"/>
  <c r="K52" i="2"/>
  <c r="W35" i="2"/>
  <c r="AH35" i="2"/>
  <c r="AJ35" i="2" s="1"/>
  <c r="J35" i="2" s="1"/>
  <c r="X19" i="2"/>
  <c r="W100" i="1"/>
  <c r="AH100" i="1"/>
  <c r="AJ100" i="1" s="1"/>
  <c r="J100" i="1" s="1"/>
  <c r="X58" i="1"/>
  <c r="AI58" i="1"/>
  <c r="K31" i="1"/>
  <c r="K96" i="2"/>
  <c r="L99" i="2"/>
  <c r="AH54" i="2"/>
  <c r="AJ54" i="2" s="1"/>
  <c r="J54" i="2" s="1"/>
  <c r="W54" i="2"/>
  <c r="K55" i="2"/>
  <c r="L49" i="2"/>
  <c r="AI47" i="2"/>
  <c r="X47" i="2"/>
  <c r="W36" i="2"/>
  <c r="X20" i="2"/>
  <c r="X48" i="2"/>
  <c r="K100" i="1"/>
  <c r="K85" i="1"/>
  <c r="W60" i="1"/>
  <c r="AH60" i="1"/>
  <c r="AJ60" i="1" s="1"/>
  <c r="J60" i="1" s="1"/>
  <c r="O50" i="1"/>
  <c r="K44" i="1"/>
  <c r="W63" i="1"/>
  <c r="AH63" i="1"/>
  <c r="AJ63" i="1" s="1"/>
  <c r="J63" i="1" s="1"/>
  <c r="AF5" i="1"/>
  <c r="AI77" i="2"/>
  <c r="X77" i="2"/>
  <c r="K104" i="2"/>
  <c r="K100" i="2"/>
  <c r="L72" i="2"/>
  <c r="X72" i="2"/>
  <c r="AI72" i="2"/>
  <c r="K67" i="2"/>
  <c r="W84" i="2"/>
  <c r="W47" i="2"/>
  <c r="W48" i="2"/>
  <c r="AH47" i="2"/>
  <c r="AJ47" i="2" s="1"/>
  <c r="J47" i="2" s="1"/>
  <c r="K68" i="1"/>
  <c r="K58" i="1"/>
  <c r="W44" i="1"/>
  <c r="AH44" i="1"/>
  <c r="AJ44" i="1" s="1"/>
  <c r="J44" i="1" s="1"/>
  <c r="L63" i="1"/>
  <c r="L44" i="1"/>
  <c r="X67" i="2"/>
  <c r="X68" i="2"/>
  <c r="AI67" i="2"/>
  <c r="W64" i="2"/>
  <c r="W65" i="2"/>
  <c r="AH64" i="2"/>
  <c r="AJ64" i="2" s="1"/>
  <c r="J64" i="2" s="1"/>
  <c r="AI102" i="2"/>
  <c r="O102" i="2"/>
  <c r="X102" i="2"/>
  <c r="O78" i="2"/>
  <c r="X78" i="2"/>
  <c r="AI78" i="2"/>
  <c r="L64" i="2"/>
  <c r="W52" i="2"/>
  <c r="AH52" i="2"/>
  <c r="AJ52" i="2" s="1"/>
  <c r="J52" i="2" s="1"/>
  <c r="W53" i="2"/>
  <c r="N54" i="2"/>
  <c r="M67" i="2"/>
  <c r="L54" i="2"/>
  <c r="K62" i="2"/>
  <c r="K60" i="2"/>
  <c r="K29" i="2"/>
  <c r="AI27" i="2"/>
  <c r="X27" i="2"/>
  <c r="O27" i="2"/>
  <c r="M33" i="2"/>
  <c r="K5" i="2"/>
  <c r="W64" i="1"/>
  <c r="W6" i="2"/>
  <c r="K60" i="1"/>
  <c r="AH39" i="1"/>
  <c r="AJ39" i="1" s="1"/>
  <c r="J39" i="1" s="1"/>
  <c r="W39" i="1"/>
  <c r="K76" i="1"/>
  <c r="L39" i="1"/>
  <c r="K89" i="1"/>
  <c r="M98" i="1"/>
  <c r="X98" i="1"/>
  <c r="AI98" i="1"/>
  <c r="O98" i="1"/>
  <c r="AI85" i="2"/>
  <c r="O85" i="2"/>
  <c r="X85" i="2"/>
  <c r="AH63" i="2"/>
  <c r="AJ63" i="2" s="1"/>
  <c r="J63" i="2" s="1"/>
  <c r="W63" i="2"/>
  <c r="K75" i="2"/>
  <c r="AH49" i="2"/>
  <c r="AJ49" i="2" s="1"/>
  <c r="J49" i="2" s="1"/>
  <c r="W49" i="2"/>
  <c r="K35" i="2"/>
  <c r="O31" i="2"/>
  <c r="X31" i="2"/>
  <c r="M31" i="2"/>
  <c r="AI31" i="2"/>
  <c r="N84" i="1"/>
  <c r="AH84" i="1"/>
  <c r="AJ84" i="1" s="1"/>
  <c r="J84" i="1" s="1"/>
  <c r="W84" i="1"/>
  <c r="X28" i="2"/>
  <c r="X50" i="1"/>
  <c r="AI50" i="1"/>
  <c r="X34" i="2"/>
  <c r="L76" i="1"/>
  <c r="X53" i="1"/>
  <c r="X54" i="1"/>
  <c r="AI53" i="1"/>
  <c r="N63" i="1"/>
  <c r="K50" i="1"/>
  <c r="K5" i="1"/>
  <c r="AB5" i="1"/>
  <c r="K88" i="2"/>
  <c r="L83" i="2"/>
  <c r="X90" i="2"/>
  <c r="AI90" i="2"/>
  <c r="O90" i="2"/>
  <c r="O86" i="2"/>
  <c r="X86" i="2"/>
  <c r="AI86" i="2"/>
  <c r="O77" i="2"/>
  <c r="W74" i="2"/>
  <c r="AH74" i="2"/>
  <c r="AJ74" i="2" s="1"/>
  <c r="J74" i="2" s="1"/>
  <c r="N64" i="2"/>
  <c r="W75" i="2"/>
  <c r="W73" i="2"/>
  <c r="AH60" i="2"/>
  <c r="AJ60" i="2" s="1"/>
  <c r="J60" i="2" s="1"/>
  <c r="W60" i="2"/>
  <c r="K58" i="2"/>
  <c r="L35" i="2"/>
  <c r="X39" i="2"/>
  <c r="O39" i="2"/>
  <c r="M39" i="2"/>
  <c r="AI39" i="2"/>
  <c r="W94" i="1"/>
  <c r="AH94" i="1"/>
  <c r="AJ94" i="1" s="1"/>
  <c r="J94" i="1" s="1"/>
  <c r="W85" i="1"/>
  <c r="X61" i="1"/>
  <c r="AI61" i="1"/>
  <c r="X62" i="1"/>
  <c r="W76" i="1"/>
  <c r="AH76" i="1"/>
  <c r="AJ76" i="1" s="1"/>
  <c r="J76" i="1" s="1"/>
  <c r="W50" i="1"/>
  <c r="AH50" i="1"/>
  <c r="AJ50" i="1" s="1"/>
  <c r="J50" i="1" s="1"/>
  <c r="W51" i="1"/>
  <c r="W68" i="1"/>
  <c r="AH68" i="1"/>
  <c r="AJ68" i="1" s="1"/>
  <c r="J68" i="1" s="1"/>
  <c r="L50" i="1"/>
  <c r="Z6" i="1" l="1"/>
  <c r="AA6" i="1" s="1"/>
  <c r="V7" i="1"/>
  <c r="S8" i="1"/>
  <c r="Q9" i="1"/>
  <c r="U8" i="1"/>
  <c r="W8" i="1" s="1"/>
  <c r="W13" i="1"/>
  <c r="W14" i="1"/>
  <c r="N5" i="1"/>
  <c r="L5" i="1"/>
  <c r="Q9" i="2"/>
  <c r="U9" i="2" s="1"/>
  <c r="U8" i="2"/>
  <c r="W8" i="2" s="1"/>
  <c r="AC6" i="2"/>
  <c r="Y6" i="1"/>
  <c r="X7" i="1"/>
  <c r="AI6" i="1"/>
  <c r="X6" i="1"/>
  <c r="AC6" i="1" s="1"/>
  <c r="AL5" i="2"/>
  <c r="L5" i="2"/>
  <c r="N5" i="2"/>
  <c r="AH6" i="2"/>
  <c r="J5" i="1"/>
  <c r="Z6" i="2"/>
  <c r="Y6" i="2"/>
  <c r="M5" i="1"/>
  <c r="O5" i="1"/>
  <c r="AH6" i="1"/>
  <c r="S9" i="1" l="1"/>
  <c r="V8" i="1"/>
  <c r="X8" i="1" s="1"/>
  <c r="U9" i="1"/>
  <c r="W9" i="1" s="1"/>
  <c r="Q10" i="1"/>
  <c r="U10" i="1" s="1"/>
  <c r="W9" i="2"/>
  <c r="W10" i="2"/>
  <c r="AD6" i="1"/>
  <c r="AE6" i="1" s="1"/>
  <c r="AK6" i="1" s="1"/>
  <c r="AL6" i="1" s="1"/>
  <c r="AI7" i="1" s="1"/>
  <c r="AA6" i="2"/>
  <c r="AB6" i="2" s="1"/>
  <c r="Y7" i="2" s="1"/>
  <c r="O5" i="2"/>
  <c r="M5" i="2"/>
  <c r="J5" i="2"/>
  <c r="AI6" i="2"/>
  <c r="AB6" i="1"/>
  <c r="AJ6" i="1"/>
  <c r="S10" i="1" l="1"/>
  <c r="V9" i="1"/>
  <c r="X9" i="1" s="1"/>
  <c r="W10" i="1"/>
  <c r="W11" i="1"/>
  <c r="AE6" i="2"/>
  <c r="K6" i="2" s="1"/>
  <c r="AJ6" i="2"/>
  <c r="Z7" i="2"/>
  <c r="M6" i="1"/>
  <c r="O6" i="1"/>
  <c r="Z7" i="1"/>
  <c r="Y7" i="1"/>
  <c r="L6" i="1"/>
  <c r="AH7" i="1"/>
  <c r="J6" i="1"/>
  <c r="AF6" i="1"/>
  <c r="AC7" i="1" s="1"/>
  <c r="N6" i="1"/>
  <c r="K6" i="1"/>
  <c r="S11" i="1" l="1"/>
  <c r="V10" i="1"/>
  <c r="AK6" i="2"/>
  <c r="L6" i="2" s="1"/>
  <c r="AH7" i="2"/>
  <c r="AF6" i="2"/>
  <c r="AA7" i="2"/>
  <c r="AA7" i="1"/>
  <c r="AB7" i="1" s="1"/>
  <c r="AD7" i="1"/>
  <c r="AJ7" i="1"/>
  <c r="X10" i="1" l="1"/>
  <c r="V11" i="1"/>
  <c r="X11" i="1" s="1"/>
  <c r="S12" i="1"/>
  <c r="N6" i="2"/>
  <c r="AL6" i="2"/>
  <c r="J6" i="2" s="1"/>
  <c r="AI7" i="2"/>
  <c r="O6" i="2"/>
  <c r="AB7" i="2"/>
  <c r="Y8" i="2" s="1"/>
  <c r="AC7" i="2"/>
  <c r="Y8" i="1"/>
  <c r="AE7" i="1"/>
  <c r="M6" i="2" l="1"/>
  <c r="AD7" i="2"/>
  <c r="AE7" i="2" s="1"/>
  <c r="K7" i="2" s="1"/>
  <c r="V12" i="1"/>
  <c r="X12" i="1" s="1"/>
  <c r="S13" i="1"/>
  <c r="AI8" i="2"/>
  <c r="AJ7" i="2"/>
  <c r="K7" i="1"/>
  <c r="AF7" i="1"/>
  <c r="AK7" i="1"/>
  <c r="AK7" i="2" l="1"/>
  <c r="AL7" i="2" s="1"/>
  <c r="M7" i="2" s="1"/>
  <c r="AF7" i="2"/>
  <c r="AC8" i="2" s="1"/>
  <c r="S14" i="1"/>
  <c r="V13" i="1"/>
  <c r="X13" i="1" s="1"/>
  <c r="AL7" i="1"/>
  <c r="O7" i="1" s="1"/>
  <c r="Z8" i="1"/>
  <c r="AD8" i="1" s="1"/>
  <c r="Z8" i="2"/>
  <c r="AC8" i="1"/>
  <c r="L7" i="1"/>
  <c r="N7" i="1"/>
  <c r="J7" i="1" l="1"/>
  <c r="O7" i="2"/>
  <c r="J7" i="2"/>
  <c r="AH8" i="2"/>
  <c r="AJ8" i="2" s="1"/>
  <c r="N7" i="2"/>
  <c r="L7" i="2"/>
  <c r="AH8" i="1"/>
  <c r="S15" i="1"/>
  <c r="V14" i="1"/>
  <c r="X14" i="1" s="1"/>
  <c r="M7" i="1"/>
  <c r="AI8" i="1"/>
  <c r="AA8" i="1"/>
  <c r="AA8" i="2"/>
  <c r="AB8" i="2" s="1"/>
  <c r="AD8" i="2"/>
  <c r="AJ8" i="1" l="1"/>
  <c r="S16" i="1"/>
  <c r="V15" i="1"/>
  <c r="X15" i="1" s="1"/>
  <c r="AE8" i="1"/>
  <c r="AB8" i="1"/>
  <c r="Z9" i="2"/>
  <c r="Y9" i="2"/>
  <c r="AE8" i="2"/>
  <c r="AK8" i="2" s="1"/>
  <c r="S17" i="1" l="1"/>
  <c r="V17" i="1" s="1"/>
  <c r="V16" i="1"/>
  <c r="X16" i="1" s="1"/>
  <c r="Z9" i="1"/>
  <c r="Y9" i="1"/>
  <c r="K8" i="1"/>
  <c r="AF8" i="1"/>
  <c r="AK8" i="1"/>
  <c r="L8" i="2"/>
  <c r="AH9" i="2"/>
  <c r="N8" i="2"/>
  <c r="AL8" i="2"/>
  <c r="K8" i="2"/>
  <c r="AF8" i="2"/>
  <c r="AA9" i="2"/>
  <c r="X18" i="1" l="1"/>
  <c r="X17" i="1"/>
  <c r="L8" i="1"/>
  <c r="AH9" i="1"/>
  <c r="N8" i="1"/>
  <c r="AL8" i="1"/>
  <c r="AD9" i="1"/>
  <c r="AC9" i="1"/>
  <c r="AA9" i="1"/>
  <c r="M8" i="2"/>
  <c r="AI9" i="2"/>
  <c r="O8" i="2"/>
  <c r="J8" i="2"/>
  <c r="AB9" i="2"/>
  <c r="Y10" i="2" s="1"/>
  <c r="AC9" i="2"/>
  <c r="AD9" i="2"/>
  <c r="AE9" i="2" s="1"/>
  <c r="M8" i="1" l="1"/>
  <c r="AI9" i="1"/>
  <c r="AJ9" i="1" s="1"/>
  <c r="O8" i="1"/>
  <c r="AE9" i="1"/>
  <c r="AF9" i="1" s="1"/>
  <c r="AB9" i="1"/>
  <c r="J8" i="1"/>
  <c r="K9" i="2"/>
  <c r="AI10" i="2"/>
  <c r="AH10" i="2"/>
  <c r="AK9" i="2"/>
  <c r="AL9" i="2" s="1"/>
  <c r="O9" i="2" s="1"/>
  <c r="AF9" i="2"/>
  <c r="AC10" i="2" s="1"/>
  <c r="AJ9" i="2"/>
  <c r="AC10" i="1" l="1"/>
  <c r="AD10" i="1"/>
  <c r="K9" i="1"/>
  <c r="Y10" i="1"/>
  <c r="Z10" i="1"/>
  <c r="AK9" i="1"/>
  <c r="AJ10" i="2"/>
  <c r="M9" i="2"/>
  <c r="L9" i="2"/>
  <c r="Z10" i="2"/>
  <c r="N9" i="2"/>
  <c r="J9" i="2"/>
  <c r="AA10" i="1" l="1"/>
  <c r="L9" i="1"/>
  <c r="AH10" i="1"/>
  <c r="N9" i="1"/>
  <c r="AL9" i="1"/>
  <c r="AA10" i="2"/>
  <c r="AD10" i="2"/>
  <c r="AE10" i="1" l="1"/>
  <c r="AK10" i="1" s="1"/>
  <c r="AH11" i="1" s="1"/>
  <c r="M9" i="1"/>
  <c r="AI10" i="1"/>
  <c r="J9" i="1"/>
  <c r="O9" i="1"/>
  <c r="AB10" i="1"/>
  <c r="Y11" i="1" s="1"/>
  <c r="AE10" i="2"/>
  <c r="AF10" i="2" s="1"/>
  <c r="AB10" i="2"/>
  <c r="AK10" i="2" l="1"/>
  <c r="AH11" i="2" s="1"/>
  <c r="L10" i="1"/>
  <c r="AF10" i="1"/>
  <c r="AC11" i="1" s="1"/>
  <c r="AL10" i="1"/>
  <c r="AI11" i="1" s="1"/>
  <c r="AJ11" i="1" s="1"/>
  <c r="K10" i="1"/>
  <c r="N10" i="1"/>
  <c r="AJ10" i="1"/>
  <c r="AD11" i="2"/>
  <c r="AC11" i="2"/>
  <c r="Z11" i="2"/>
  <c r="Y11" i="2"/>
  <c r="K10" i="2"/>
  <c r="Z11" i="1" l="1"/>
  <c r="AA11" i="1" s="1"/>
  <c r="L10" i="2"/>
  <c r="O10" i="1"/>
  <c r="AL10" i="2"/>
  <c r="AI11" i="2" s="1"/>
  <c r="N10" i="2"/>
  <c r="M10" i="1"/>
  <c r="J10" i="1"/>
  <c r="AA11" i="2"/>
  <c r="AB11" i="2" s="1"/>
  <c r="AD11" i="1" l="1"/>
  <c r="AE11" i="1" s="1"/>
  <c r="K11" i="1" s="1"/>
  <c r="J10" i="2"/>
  <c r="M10" i="2"/>
  <c r="O10" i="2"/>
  <c r="AB11" i="1"/>
  <c r="Y12" i="2"/>
  <c r="Z12" i="2"/>
  <c r="AE11" i="2"/>
  <c r="AK11" i="2" s="1"/>
  <c r="AH12" i="2" s="1"/>
  <c r="AJ11" i="2"/>
  <c r="AA12" i="2" l="1"/>
  <c r="Y12" i="1"/>
  <c r="AK11" i="1"/>
  <c r="Z12" i="1" s="1"/>
  <c r="AF11" i="1"/>
  <c r="L11" i="2"/>
  <c r="N11" i="2"/>
  <c r="AL11" i="2"/>
  <c r="Y13" i="2"/>
  <c r="AF11" i="2"/>
  <c r="K11" i="2"/>
  <c r="J11" i="2" l="1"/>
  <c r="AI12" i="2"/>
  <c r="AB12" i="2"/>
  <c r="AD12" i="1"/>
  <c r="AC12" i="1"/>
  <c r="L11" i="1"/>
  <c r="AH12" i="1"/>
  <c r="N11" i="1"/>
  <c r="AL11" i="1"/>
  <c r="AA12" i="1"/>
  <c r="M11" i="2"/>
  <c r="O11" i="2"/>
  <c r="AC12" i="2"/>
  <c r="AH13" i="2" s="1"/>
  <c r="AD12" i="2"/>
  <c r="AE12" i="2" s="1"/>
  <c r="AK12" i="2" l="1"/>
  <c r="AL12" i="2" s="1"/>
  <c r="K12" i="2"/>
  <c r="AF12" i="2"/>
  <c r="AC13" i="2" s="1"/>
  <c r="AJ12" i="2"/>
  <c r="M11" i="1"/>
  <c r="AI12" i="1"/>
  <c r="AJ12" i="1" s="1"/>
  <c r="O11" i="1"/>
  <c r="J11" i="1"/>
  <c r="AE12" i="1"/>
  <c r="AK12" i="1" s="1"/>
  <c r="AB12" i="1"/>
  <c r="Z13" i="2" l="1"/>
  <c r="AA13" i="2" s="1"/>
  <c r="N12" i="2"/>
  <c r="L12" i="2"/>
  <c r="M12" i="2"/>
  <c r="AI13" i="2"/>
  <c r="AJ13" i="2" s="1"/>
  <c r="J12" i="2"/>
  <c r="O12" i="2"/>
  <c r="AD13" i="2"/>
  <c r="N12" i="1"/>
  <c r="AH13" i="1"/>
  <c r="K12" i="1"/>
  <c r="AF12" i="1"/>
  <c r="AD13" i="1" s="1"/>
  <c r="Z13" i="1"/>
  <c r="Y13" i="1"/>
  <c r="L12" i="1"/>
  <c r="AL12" i="1"/>
  <c r="AE13" i="2" l="1"/>
  <c r="AF13" i="2" s="1"/>
  <c r="AD14" i="2" s="1"/>
  <c r="AB13" i="2"/>
  <c r="Z14" i="2" s="1"/>
  <c r="AA14" i="2" s="1"/>
  <c r="K13" i="2"/>
  <c r="AK13" i="2"/>
  <c r="L13" i="2" s="1"/>
  <c r="AH14" i="2"/>
  <c r="Y14" i="2"/>
  <c r="J12" i="1"/>
  <c r="AI13" i="1"/>
  <c r="AJ13" i="1" s="1"/>
  <c r="AA13" i="1"/>
  <c r="AC14" i="2"/>
  <c r="AC13" i="1"/>
  <c r="AH14" i="1" s="1"/>
  <c r="M12" i="1"/>
  <c r="O12" i="1"/>
  <c r="AL13" i="2" l="1"/>
  <c r="AI14" i="2" s="1"/>
  <c r="AJ14" i="2" s="1"/>
  <c r="N13" i="2"/>
  <c r="AE13" i="1"/>
  <c r="AB13" i="1"/>
  <c r="AE14" i="2"/>
  <c r="AK14" i="2" s="1"/>
  <c r="AB14" i="2"/>
  <c r="O13" i="2"/>
  <c r="J13" i="2"/>
  <c r="M13" i="2" l="1"/>
  <c r="AH15" i="2"/>
  <c r="Y14" i="1"/>
  <c r="K13" i="1"/>
  <c r="AF13" i="1"/>
  <c r="AK13" i="1"/>
  <c r="AL13" i="1" s="1"/>
  <c r="AI14" i="1" s="1"/>
  <c r="Z15" i="2"/>
  <c r="Y15" i="2"/>
  <c r="N14" i="2"/>
  <c r="L14" i="2"/>
  <c r="K14" i="2"/>
  <c r="AF14" i="2"/>
  <c r="AL14" i="2"/>
  <c r="Z14" i="1" l="1"/>
  <c r="AA14" i="1" s="1"/>
  <c r="AJ14" i="1"/>
  <c r="J14" i="2"/>
  <c r="AI15" i="2"/>
  <c r="AJ15" i="2" s="1"/>
  <c r="AA15" i="2"/>
  <c r="O13" i="1"/>
  <c r="M13" i="1"/>
  <c r="AC14" i="1"/>
  <c r="AD14" i="1"/>
  <c r="N13" i="1"/>
  <c r="L13" i="1"/>
  <c r="J13" i="1"/>
  <c r="O14" i="2"/>
  <c r="M14" i="2"/>
  <c r="AD15" i="2"/>
  <c r="AC15" i="2"/>
  <c r="AI16" i="2" s="1"/>
  <c r="AE14" i="1" l="1"/>
  <c r="K14" i="1" s="1"/>
  <c r="AB14" i="1"/>
  <c r="AE15" i="2"/>
  <c r="AK15" i="2" s="1"/>
  <c r="AB15" i="2"/>
  <c r="K15" i="2" l="1"/>
  <c r="Y15" i="1"/>
  <c r="AK14" i="1"/>
  <c r="Z15" i="1" s="1"/>
  <c r="AH16" i="2"/>
  <c r="AF14" i="1"/>
  <c r="AC15" i="1" s="1"/>
  <c r="AL15" i="2"/>
  <c r="J15" i="2" s="1"/>
  <c r="Z16" i="2"/>
  <c r="Y16" i="2"/>
  <c r="L15" i="2"/>
  <c r="N15" i="2"/>
  <c r="AF15" i="2"/>
  <c r="AH16" i="1" l="1"/>
  <c r="AA16" i="2"/>
  <c r="AJ16" i="2"/>
  <c r="O15" i="2"/>
  <c r="AH15" i="1"/>
  <c r="L14" i="1"/>
  <c r="N14" i="1"/>
  <c r="M15" i="2"/>
  <c r="AA15" i="1"/>
  <c r="AL14" i="1"/>
  <c r="AD16" i="2"/>
  <c r="AC16" i="2"/>
  <c r="AD15" i="1" l="1"/>
  <c r="AE15" i="1" s="1"/>
  <c r="K15" i="1" s="1"/>
  <c r="AI15" i="1"/>
  <c r="AJ15" i="1" s="1"/>
  <c r="M14" i="1"/>
  <c r="O14" i="1"/>
  <c r="AB15" i="1"/>
  <c r="AE16" i="2"/>
  <c r="AK16" i="2" s="1"/>
  <c r="J14" i="1"/>
  <c r="AB16" i="2"/>
  <c r="AL16" i="2" l="1"/>
  <c r="J16" i="2" s="1"/>
  <c r="AI17" i="2"/>
  <c r="O16" i="2"/>
  <c r="K16" i="2"/>
  <c r="AK15" i="1"/>
  <c r="L16" i="2"/>
  <c r="AH17" i="2"/>
  <c r="N16" i="2"/>
  <c r="Y16" i="1"/>
  <c r="AF16" i="2"/>
  <c r="Z17" i="2"/>
  <c r="Y17" i="2"/>
  <c r="AF15" i="1"/>
  <c r="AJ17" i="2" l="1"/>
  <c r="AA17" i="2"/>
  <c r="M16" i="2"/>
  <c r="AC17" i="2"/>
  <c r="AD17" i="2"/>
  <c r="L15" i="1"/>
  <c r="N15" i="1"/>
  <c r="AL15" i="1"/>
  <c r="Z16" i="1" s="1"/>
  <c r="AA16" i="1" s="1"/>
  <c r="AC16" i="1"/>
  <c r="AD16" i="1"/>
  <c r="AI16" i="1" l="1"/>
  <c r="AJ16" i="1" s="1"/>
  <c r="AE16" i="1"/>
  <c r="K16" i="1" s="1"/>
  <c r="AB16" i="1"/>
  <c r="AE17" i="2"/>
  <c r="AK17" i="2" s="1"/>
  <c r="AH18" i="2" s="1"/>
  <c r="AB17" i="2"/>
  <c r="M15" i="1"/>
  <c r="O15" i="1"/>
  <c r="J15" i="1"/>
  <c r="Z17" i="1" l="1"/>
  <c r="Y17" i="1"/>
  <c r="AK16" i="1"/>
  <c r="AF16" i="1"/>
  <c r="AL17" i="2"/>
  <c r="AI18" i="2" s="1"/>
  <c r="AJ18" i="2" s="1"/>
  <c r="L17" i="2"/>
  <c r="N17" i="2"/>
  <c r="Z18" i="2"/>
  <c r="Y18" i="2"/>
  <c r="K17" i="2"/>
  <c r="AF17" i="2"/>
  <c r="AH17" i="1" l="1"/>
  <c r="AA17" i="1"/>
  <c r="AD17" i="1"/>
  <c r="AC17" i="1"/>
  <c r="L16" i="1"/>
  <c r="N16" i="1"/>
  <c r="AL16" i="1"/>
  <c r="AI17" i="1" s="1"/>
  <c r="AA18" i="2"/>
  <c r="AC18" i="2"/>
  <c r="AH19" i="2" s="1"/>
  <c r="AD18" i="2"/>
  <c r="O17" i="2"/>
  <c r="M17" i="2"/>
  <c r="J17" i="2"/>
  <c r="AE17" i="1" l="1"/>
  <c r="K17" i="1" s="1"/>
  <c r="AB17" i="1"/>
  <c r="AJ17" i="1"/>
  <c r="AI19" i="2"/>
  <c r="AJ19" i="2" s="1"/>
  <c r="M16" i="1"/>
  <c r="O16" i="1"/>
  <c r="J16" i="1"/>
  <c r="AE18" i="2"/>
  <c r="AB18" i="2"/>
  <c r="AF17" i="1" l="1"/>
  <c r="AC18" i="1" s="1"/>
  <c r="Y18" i="1"/>
  <c r="AK17" i="1"/>
  <c r="Z18" i="1" s="1"/>
  <c r="Y19" i="2"/>
  <c r="K18" i="2"/>
  <c r="AK18" i="2"/>
  <c r="AL18" i="2" s="1"/>
  <c r="AF18" i="2"/>
  <c r="Z19" i="2" l="1"/>
  <c r="AD19" i="2" s="1"/>
  <c r="L17" i="1"/>
  <c r="AH18" i="1"/>
  <c r="AL17" i="1"/>
  <c r="AI18" i="1" s="1"/>
  <c r="N17" i="1"/>
  <c r="AA18" i="1"/>
  <c r="AD18" i="1"/>
  <c r="M18" i="2"/>
  <c r="O18" i="2"/>
  <c r="AC19" i="2"/>
  <c r="N18" i="2"/>
  <c r="L18" i="2"/>
  <c r="J18" i="2"/>
  <c r="AA19" i="2" l="1"/>
  <c r="AJ18" i="1"/>
  <c r="AB18" i="1"/>
  <c r="AE18" i="1"/>
  <c r="AK18" i="1" s="1"/>
  <c r="M17" i="1"/>
  <c r="O17" i="1"/>
  <c r="J17" i="1"/>
  <c r="AE19" i="2"/>
  <c r="AK19" i="2" s="1"/>
  <c r="AB19" i="2"/>
  <c r="AL19" i="2" l="1"/>
  <c r="AI20" i="2" s="1"/>
  <c r="AH20" i="2"/>
  <c r="K19" i="2"/>
  <c r="AL18" i="1"/>
  <c r="AH19" i="1" s="1"/>
  <c r="N18" i="1"/>
  <c r="L18" i="1"/>
  <c r="Y19" i="1"/>
  <c r="Z19" i="1"/>
  <c r="K18" i="1"/>
  <c r="AF18" i="1"/>
  <c r="Z20" i="2"/>
  <c r="Y20" i="2"/>
  <c r="J19" i="2"/>
  <c r="O19" i="2"/>
  <c r="M19" i="2"/>
  <c r="N19" i="2"/>
  <c r="L19" i="2"/>
  <c r="AF19" i="2"/>
  <c r="AJ20" i="2" l="1"/>
  <c r="AI21" i="2"/>
  <c r="J18" i="1"/>
  <c r="AI19" i="1"/>
  <c r="AA19" i="1"/>
  <c r="AA20" i="2"/>
  <c r="AD19" i="1"/>
  <c r="AC19" i="1"/>
  <c r="M18" i="1"/>
  <c r="O18" i="1"/>
  <c r="AC20" i="2"/>
  <c r="AH21" i="2" s="1"/>
  <c r="AD20" i="2"/>
  <c r="AE19" i="1" l="1"/>
  <c r="AB19" i="1"/>
  <c r="AJ19" i="1"/>
  <c r="AJ21" i="2"/>
  <c r="AE20" i="2"/>
  <c r="AB20" i="2"/>
  <c r="Y20" i="1" l="1"/>
  <c r="K19" i="1"/>
  <c r="AK19" i="1"/>
  <c r="Z20" i="1" s="1"/>
  <c r="AF19" i="1"/>
  <c r="Z21" i="2"/>
  <c r="Y21" i="2"/>
  <c r="AK20" i="2"/>
  <c r="K20" i="2"/>
  <c r="AF20" i="2"/>
  <c r="AL19" i="1" l="1"/>
  <c r="AI20" i="1" s="1"/>
  <c r="AH20" i="1"/>
  <c r="AA20" i="1"/>
  <c r="AD20" i="1"/>
  <c r="AC20" i="1"/>
  <c r="AI21" i="1" s="1"/>
  <c r="L19" i="1"/>
  <c r="N19" i="1"/>
  <c r="J19" i="1"/>
  <c r="AA21" i="2"/>
  <c r="L20" i="2"/>
  <c r="N20" i="2"/>
  <c r="AC21" i="2"/>
  <c r="AH22" i="2" s="1"/>
  <c r="AD21" i="2"/>
  <c r="AL20" i="2"/>
  <c r="O19" i="1" l="1"/>
  <c r="M19" i="1"/>
  <c r="AE20" i="1"/>
  <c r="K20" i="1" s="1"/>
  <c r="AB20" i="1"/>
  <c r="AJ20" i="1"/>
  <c r="AE21" i="2"/>
  <c r="K21" i="2" s="1"/>
  <c r="AB21" i="2"/>
  <c r="M20" i="2"/>
  <c r="O20" i="2"/>
  <c r="J20" i="2"/>
  <c r="AK20" i="1" l="1"/>
  <c r="Z21" i="1"/>
  <c r="Y21" i="1"/>
  <c r="AF20" i="1"/>
  <c r="Z22" i="2"/>
  <c r="Y22" i="2"/>
  <c r="AK21" i="2"/>
  <c r="AF21" i="2"/>
  <c r="AL20" i="1" l="1"/>
  <c r="O20" i="1" s="1"/>
  <c r="AH21" i="1"/>
  <c r="AJ21" i="1" s="1"/>
  <c r="AA21" i="1"/>
  <c r="AA22" i="2"/>
  <c r="L20" i="1"/>
  <c r="M20" i="1"/>
  <c r="N20" i="1"/>
  <c r="J20" i="1"/>
  <c r="AD21" i="1"/>
  <c r="AC21" i="1"/>
  <c r="AC22" i="2"/>
  <c r="AD22" i="2"/>
  <c r="AL21" i="2"/>
  <c r="L21" i="2"/>
  <c r="N21" i="2"/>
  <c r="AE21" i="1" l="1"/>
  <c r="AA105" i="1"/>
  <c r="AF21" i="1"/>
  <c r="AC22" i="1" s="1"/>
  <c r="AB21" i="1"/>
  <c r="J21" i="2"/>
  <c r="AI22" i="2"/>
  <c r="AJ22" i="2" s="1"/>
  <c r="AE22" i="2"/>
  <c r="AK22" i="2" s="1"/>
  <c r="AH23" i="2" s="1"/>
  <c r="AB22" i="2"/>
  <c r="M21" i="2"/>
  <c r="O21" i="2"/>
  <c r="AD22" i="1" l="1"/>
  <c r="AF22" i="1" s="1"/>
  <c r="AF22" i="2"/>
  <c r="K21" i="1"/>
  <c r="AE105" i="1"/>
  <c r="Y22" i="1"/>
  <c r="Z22" i="1"/>
  <c r="AB22" i="1" s="1"/>
  <c r="AK21" i="1"/>
  <c r="AL21" i="1" s="1"/>
  <c r="AL22" i="2"/>
  <c r="AI23" i="2" s="1"/>
  <c r="AJ23" i="2" s="1"/>
  <c r="L22" i="2"/>
  <c r="N22" i="2"/>
  <c r="Y23" i="2"/>
  <c r="Z23" i="2"/>
  <c r="K22" i="2"/>
  <c r="AC23" i="1"/>
  <c r="AD23" i="1"/>
  <c r="AF23" i="1" s="1"/>
  <c r="J22" i="2" l="1"/>
  <c r="AC23" i="2"/>
  <c r="AD23" i="2"/>
  <c r="AA23" i="2"/>
  <c r="L21" i="1"/>
  <c r="N21" i="1"/>
  <c r="J21" i="1"/>
  <c r="AK105" i="1"/>
  <c r="B8" i="4"/>
  <c r="M21" i="1"/>
  <c r="O21" i="1"/>
  <c r="AL105" i="1"/>
  <c r="Z23" i="1"/>
  <c r="AB23" i="1" s="1"/>
  <c r="Y23" i="1"/>
  <c r="M22" i="2"/>
  <c r="O22" i="2"/>
  <c r="AD24" i="1"/>
  <c r="AF24" i="1" s="1"/>
  <c r="AC24" i="1"/>
  <c r="AE23" i="2" l="1"/>
  <c r="K23" i="2" s="1"/>
  <c r="AA105" i="2"/>
  <c r="AB23" i="2"/>
  <c r="Y24" i="1"/>
  <c r="Z24" i="1"/>
  <c r="AB24" i="1" s="1"/>
  <c r="AD25" i="1"/>
  <c r="AF25" i="1" s="1"/>
  <c r="AC25" i="1"/>
  <c r="AK23" i="2" l="1"/>
  <c r="Z24" i="2"/>
  <c r="AB24" i="2" s="1"/>
  <c r="Y24" i="2"/>
  <c r="L23" i="2"/>
  <c r="N23" i="2"/>
  <c r="AL23" i="2"/>
  <c r="AF23" i="2"/>
  <c r="Y25" i="1"/>
  <c r="Z25" i="1"/>
  <c r="AB25" i="1" s="1"/>
  <c r="AD26" i="1"/>
  <c r="AF26" i="1" s="1"/>
  <c r="AC26" i="1"/>
  <c r="AD24" i="2" l="1"/>
  <c r="AC24" i="2"/>
  <c r="M23" i="2"/>
  <c r="O23" i="2"/>
  <c r="J23" i="2"/>
  <c r="Z25" i="2"/>
  <c r="AB25" i="2" s="1"/>
  <c r="Y25" i="2"/>
  <c r="Y26" i="1"/>
  <c r="Z26" i="1"/>
  <c r="AB26" i="1" s="1"/>
  <c r="AD27" i="1"/>
  <c r="AF27" i="1" s="1"/>
  <c r="AC27" i="1"/>
  <c r="AE24" i="2" l="1"/>
  <c r="Z26" i="2"/>
  <c r="AB26" i="2" s="1"/>
  <c r="Y26" i="2"/>
  <c r="Z27" i="1"/>
  <c r="AB27" i="1" s="1"/>
  <c r="Y27" i="1"/>
  <c r="AC28" i="1"/>
  <c r="AD28" i="1"/>
  <c r="AF28" i="1" s="1"/>
  <c r="AK24" i="2" l="1"/>
  <c r="AL24" i="2" s="1"/>
  <c r="B18" i="4" s="1"/>
  <c r="K24" i="2"/>
  <c r="AE105" i="2"/>
  <c r="AF24" i="2"/>
  <c r="Y27" i="2"/>
  <c r="Z27" i="2"/>
  <c r="AB27" i="2" s="1"/>
  <c r="Y28" i="1"/>
  <c r="Z28" i="1"/>
  <c r="AB28" i="1" s="1"/>
  <c r="AD29" i="1"/>
  <c r="AF29" i="1" s="1"/>
  <c r="AC29" i="1"/>
  <c r="AD25" i="2" l="1"/>
  <c r="AF25" i="2" s="1"/>
  <c r="AC25" i="2"/>
  <c r="M24" i="2"/>
  <c r="O24" i="2"/>
  <c r="AL105" i="2"/>
  <c r="L24" i="2"/>
  <c r="N24" i="2"/>
  <c r="J24" i="2"/>
  <c r="AK105" i="2"/>
  <c r="Z28" i="2"/>
  <c r="AB28" i="2" s="1"/>
  <c r="Y28" i="2"/>
  <c r="Z29" i="1"/>
  <c r="AB29" i="1" s="1"/>
  <c r="Y29" i="1"/>
  <c r="AC30" i="1"/>
  <c r="AD30" i="1"/>
  <c r="AF30" i="1" s="1"/>
  <c r="AC26" i="2" l="1"/>
  <c r="AD26" i="2"/>
  <c r="AF26" i="2" s="1"/>
  <c r="Z29" i="2"/>
  <c r="AB29" i="2" s="1"/>
  <c r="Y29" i="2"/>
  <c r="Y30" i="1"/>
  <c r="Z30" i="1"/>
  <c r="AB30" i="1" s="1"/>
  <c r="AC31" i="1"/>
  <c r="AD31" i="1"/>
  <c r="AF31" i="1" s="1"/>
  <c r="AC27" i="2" l="1"/>
  <c r="AD27" i="2"/>
  <c r="AF27" i="2" s="1"/>
  <c r="Z30" i="2"/>
  <c r="AB30" i="2" s="1"/>
  <c r="Y30" i="2"/>
  <c r="Z31" i="1"/>
  <c r="AB31" i="1" s="1"/>
  <c r="Y31" i="1"/>
  <c r="AD32" i="1"/>
  <c r="AF32" i="1" s="1"/>
  <c r="AC32" i="1"/>
  <c r="AD28" i="2" l="1"/>
  <c r="AF28" i="2" s="1"/>
  <c r="AC28" i="2"/>
  <c r="Y31" i="2"/>
  <c r="Z31" i="2"/>
  <c r="AB31" i="2" s="1"/>
  <c r="Z32" i="1"/>
  <c r="AB32" i="1" s="1"/>
  <c r="Y32" i="1"/>
  <c r="AC33" i="1"/>
  <c r="AD33" i="1"/>
  <c r="AF33" i="1" s="1"/>
  <c r="AC29" i="2" l="1"/>
  <c r="AD29" i="2"/>
  <c r="AF29" i="2" s="1"/>
  <c r="Y32" i="2"/>
  <c r="Z32" i="2"/>
  <c r="AB32" i="2" s="1"/>
  <c r="Z33" i="1"/>
  <c r="AB33" i="1" s="1"/>
  <c r="Y33" i="1"/>
  <c r="AD34" i="1"/>
  <c r="AF34" i="1" s="1"/>
  <c r="AC34" i="1"/>
  <c r="AD30" i="2" l="1"/>
  <c r="AF30" i="2" s="1"/>
  <c r="AC30" i="2"/>
  <c r="Y33" i="2"/>
  <c r="Z33" i="2"/>
  <c r="AB33" i="2" s="1"/>
  <c r="Z34" i="1"/>
  <c r="AB34" i="1" s="1"/>
  <c r="Y34" i="1"/>
  <c r="AC35" i="1"/>
  <c r="AD35" i="1"/>
  <c r="AF35" i="1" s="1"/>
  <c r="AD31" i="2" l="1"/>
  <c r="AF31" i="2" s="1"/>
  <c r="AC31" i="2"/>
  <c r="Z34" i="2"/>
  <c r="AB34" i="2" s="1"/>
  <c r="Y34" i="2"/>
  <c r="Z35" i="1"/>
  <c r="AB35" i="1" s="1"/>
  <c r="Y35" i="1"/>
  <c r="AC36" i="1"/>
  <c r="AD36" i="1"/>
  <c r="AF36" i="1" s="1"/>
  <c r="AC32" i="2" l="1"/>
  <c r="AD32" i="2"/>
  <c r="AF32" i="2" s="1"/>
  <c r="Y35" i="2"/>
  <c r="Z35" i="2"/>
  <c r="AB35" i="2" s="1"/>
  <c r="Z36" i="1"/>
  <c r="AB36" i="1" s="1"/>
  <c r="Y36" i="1"/>
  <c r="AC37" i="1"/>
  <c r="AD37" i="1"/>
  <c r="AF37" i="1" s="1"/>
  <c r="AC33" i="2" l="1"/>
  <c r="AD33" i="2"/>
  <c r="AF33" i="2" s="1"/>
  <c r="Z36" i="2"/>
  <c r="AB36" i="2" s="1"/>
  <c r="Y36" i="2"/>
  <c r="Y37" i="1"/>
  <c r="Z37" i="1"/>
  <c r="AB37" i="1" s="1"/>
  <c r="AD38" i="1"/>
  <c r="AF38" i="1" s="1"/>
  <c r="AC38" i="1"/>
  <c r="AD34" i="2" l="1"/>
  <c r="AF34" i="2" s="1"/>
  <c r="AC34" i="2"/>
  <c r="Y37" i="2"/>
  <c r="Z37" i="2"/>
  <c r="AB37" i="2" s="1"/>
  <c r="Y38" i="1"/>
  <c r="Z38" i="1"/>
  <c r="AB38" i="1" s="1"/>
  <c r="AD39" i="1"/>
  <c r="AF39" i="1" s="1"/>
  <c r="AC39" i="1"/>
  <c r="AD35" i="2" l="1"/>
  <c r="AF35" i="2" s="1"/>
  <c r="AC35" i="2"/>
  <c r="Y38" i="2"/>
  <c r="Z38" i="2"/>
  <c r="AB38" i="2" s="1"/>
  <c r="Z39" i="1"/>
  <c r="AB39" i="1" s="1"/>
  <c r="Y39" i="1"/>
  <c r="AC40" i="1"/>
  <c r="AD40" i="1"/>
  <c r="AF40" i="1" s="1"/>
  <c r="AD36" i="2" l="1"/>
  <c r="AF36" i="2" s="1"/>
  <c r="AC36" i="2"/>
  <c r="Z39" i="2"/>
  <c r="AB39" i="2" s="1"/>
  <c r="Y39" i="2"/>
  <c r="Z40" i="1"/>
  <c r="AB40" i="1" s="1"/>
  <c r="Y40" i="1"/>
  <c r="AC41" i="1"/>
  <c r="AD41" i="1"/>
  <c r="AF41" i="1" s="1"/>
  <c r="AC37" i="2" l="1"/>
  <c r="AD37" i="2"/>
  <c r="AF37" i="2" s="1"/>
  <c r="Y40" i="2"/>
  <c r="Z40" i="2"/>
  <c r="AB40" i="2" s="1"/>
  <c r="Z41" i="1"/>
  <c r="AB41" i="1" s="1"/>
  <c r="Y41" i="1"/>
  <c r="AD42" i="1"/>
  <c r="AF42" i="1" s="1"/>
  <c r="AC42" i="1"/>
  <c r="AC38" i="2" l="1"/>
  <c r="AD38" i="2"/>
  <c r="AF38" i="2" s="1"/>
  <c r="Z41" i="2"/>
  <c r="AB41" i="2" s="1"/>
  <c r="Y41" i="2"/>
  <c r="Z42" i="1"/>
  <c r="AB42" i="1" s="1"/>
  <c r="Y42" i="1"/>
  <c r="AD43" i="1"/>
  <c r="AF43" i="1" s="1"/>
  <c r="AC43" i="1"/>
  <c r="AD39" i="2" l="1"/>
  <c r="AF39" i="2" s="1"/>
  <c r="AC39" i="2"/>
  <c r="Y42" i="2"/>
  <c r="Z42" i="2"/>
  <c r="AB42" i="2" s="1"/>
  <c r="Z43" i="1"/>
  <c r="AB43" i="1" s="1"/>
  <c r="Y43" i="1"/>
  <c r="AC44" i="1"/>
  <c r="AD44" i="1"/>
  <c r="AF44" i="1" s="1"/>
  <c r="AD40" i="2" l="1"/>
  <c r="AF40" i="2" s="1"/>
  <c r="AC40" i="2"/>
  <c r="Y43" i="2"/>
  <c r="Z43" i="2"/>
  <c r="AB43" i="2" s="1"/>
  <c r="Z44" i="1"/>
  <c r="AB44" i="1" s="1"/>
  <c r="Y44" i="1"/>
  <c r="AD45" i="1"/>
  <c r="AF45" i="1" s="1"/>
  <c r="AC45" i="1"/>
  <c r="AD41" i="2" l="1"/>
  <c r="AF41" i="2" s="1"/>
  <c r="AC41" i="2"/>
  <c r="Y44" i="2"/>
  <c r="Z44" i="2"/>
  <c r="AB44" i="2" s="1"/>
  <c r="Z45" i="1"/>
  <c r="AB45" i="1" s="1"/>
  <c r="Y45" i="1"/>
  <c r="AD46" i="1"/>
  <c r="AF46" i="1" s="1"/>
  <c r="AC46" i="1"/>
  <c r="AD42" i="2" l="1"/>
  <c r="AF42" i="2" s="1"/>
  <c r="AC42" i="2"/>
  <c r="Y45" i="2"/>
  <c r="Z45" i="2"/>
  <c r="AB45" i="2" s="1"/>
  <c r="Y46" i="1"/>
  <c r="Z46" i="1"/>
  <c r="AB46" i="1" s="1"/>
  <c r="AD47" i="1"/>
  <c r="AF47" i="1" s="1"/>
  <c r="AC47" i="1"/>
  <c r="AD43" i="2" l="1"/>
  <c r="AF43" i="2" s="1"/>
  <c r="AC43" i="2"/>
  <c r="Z46" i="2"/>
  <c r="AB46" i="2" s="1"/>
  <c r="Y46" i="2"/>
  <c r="Y47" i="1"/>
  <c r="Z47" i="1"/>
  <c r="AB47" i="1" s="1"/>
  <c r="AD48" i="1"/>
  <c r="AF48" i="1" s="1"/>
  <c r="AC48" i="1"/>
  <c r="AC44" i="2" l="1"/>
  <c r="AD44" i="2"/>
  <c r="AF44" i="2" s="1"/>
  <c r="Y47" i="2"/>
  <c r="Z47" i="2"/>
  <c r="AB47" i="2" s="1"/>
  <c r="Y48" i="1"/>
  <c r="Z48" i="1"/>
  <c r="AB48" i="1" s="1"/>
  <c r="AC49" i="1"/>
  <c r="AD49" i="1"/>
  <c r="AF49" i="1" s="1"/>
  <c r="AD45" i="2" l="1"/>
  <c r="AF45" i="2" s="1"/>
  <c r="AC45" i="2"/>
  <c r="Z48" i="2"/>
  <c r="AB48" i="2" s="1"/>
  <c r="Y48" i="2"/>
  <c r="Z49" i="1"/>
  <c r="AB49" i="1" s="1"/>
  <c r="Y49" i="1"/>
  <c r="AC50" i="1"/>
  <c r="AD50" i="1"/>
  <c r="AF50" i="1" s="1"/>
  <c r="AC46" i="2" l="1"/>
  <c r="AD46" i="2"/>
  <c r="AF46" i="2" s="1"/>
  <c r="Z49" i="2"/>
  <c r="AB49" i="2" s="1"/>
  <c r="Y49" i="2"/>
  <c r="Z50" i="1"/>
  <c r="AB50" i="1" s="1"/>
  <c r="Y50" i="1"/>
  <c r="AC51" i="1"/>
  <c r="AD51" i="1"/>
  <c r="AF51" i="1" s="1"/>
  <c r="AD47" i="2" l="1"/>
  <c r="AF47" i="2" s="1"/>
  <c r="AC47" i="2"/>
  <c r="Y50" i="2"/>
  <c r="Z50" i="2"/>
  <c r="AB50" i="2" s="1"/>
  <c r="Y51" i="1"/>
  <c r="Z51" i="1"/>
  <c r="AB51" i="1" s="1"/>
  <c r="AC52" i="1"/>
  <c r="AD52" i="1"/>
  <c r="AF52" i="1" s="1"/>
  <c r="AC48" i="2" l="1"/>
  <c r="AD48" i="2"/>
  <c r="AF48" i="2" s="1"/>
  <c r="Z51" i="2"/>
  <c r="AB51" i="2" s="1"/>
  <c r="Y51" i="2"/>
  <c r="Z52" i="1"/>
  <c r="AB52" i="1" s="1"/>
  <c r="Y52" i="1"/>
  <c r="AD53" i="1"/>
  <c r="AF53" i="1" s="1"/>
  <c r="AC53" i="1"/>
  <c r="AD49" i="2" l="1"/>
  <c r="AF49" i="2" s="1"/>
  <c r="AC49" i="2"/>
  <c r="Z52" i="2"/>
  <c r="AB52" i="2" s="1"/>
  <c r="Y52" i="2"/>
  <c r="Y53" i="1"/>
  <c r="Z53" i="1"/>
  <c r="AB53" i="1" s="1"/>
  <c r="AC54" i="1"/>
  <c r="AD54" i="1"/>
  <c r="AF54" i="1" s="1"/>
  <c r="AC50" i="2" l="1"/>
  <c r="AD50" i="2"/>
  <c r="AF50" i="2" s="1"/>
  <c r="Y53" i="2"/>
  <c r="Z53" i="2"/>
  <c r="AB53" i="2" s="1"/>
  <c r="Y54" i="1"/>
  <c r="Z54" i="1"/>
  <c r="AB54" i="1" s="1"/>
  <c r="AC55" i="1"/>
  <c r="AD55" i="1"/>
  <c r="AF55" i="1" s="1"/>
  <c r="AC51" i="2" l="1"/>
  <c r="AD51" i="2"/>
  <c r="AF51" i="2" s="1"/>
  <c r="Y54" i="2"/>
  <c r="Z54" i="2"/>
  <c r="AB54" i="2" s="1"/>
  <c r="Y55" i="1"/>
  <c r="Z55" i="1"/>
  <c r="AB55" i="1" s="1"/>
  <c r="AC56" i="1"/>
  <c r="AD56" i="1"/>
  <c r="AF56" i="1" s="1"/>
  <c r="AC52" i="2" l="1"/>
  <c r="AD52" i="2"/>
  <c r="AF52" i="2" s="1"/>
  <c r="Y55" i="2"/>
  <c r="Z55" i="2"/>
  <c r="AB55" i="2" s="1"/>
  <c r="Z56" i="1"/>
  <c r="AB56" i="1" s="1"/>
  <c r="Y56" i="1"/>
  <c r="AD57" i="1"/>
  <c r="AF57" i="1" s="1"/>
  <c r="AC57" i="1"/>
  <c r="AC53" i="2" l="1"/>
  <c r="AD53" i="2"/>
  <c r="AF53" i="2" s="1"/>
  <c r="Y56" i="2"/>
  <c r="Z56" i="2"/>
  <c r="AB56" i="2" s="1"/>
  <c r="Z57" i="1"/>
  <c r="AB57" i="1" s="1"/>
  <c r="Y57" i="1"/>
  <c r="AC58" i="1"/>
  <c r="AD58" i="1"/>
  <c r="AF58" i="1" s="1"/>
  <c r="AD54" i="2" l="1"/>
  <c r="AF54" i="2" s="1"/>
  <c r="AC54" i="2"/>
  <c r="Y57" i="2"/>
  <c r="Z57" i="2"/>
  <c r="AB57" i="2" s="1"/>
  <c r="Z58" i="1"/>
  <c r="AB58" i="1" s="1"/>
  <c r="Y58" i="1"/>
  <c r="AD59" i="1"/>
  <c r="AF59" i="1" s="1"/>
  <c r="AC59" i="1"/>
  <c r="AC55" i="2" l="1"/>
  <c r="AD55" i="2"/>
  <c r="AF55" i="2" s="1"/>
  <c r="Y58" i="2"/>
  <c r="Z58" i="2"/>
  <c r="AB58" i="2" s="1"/>
  <c r="Y59" i="1"/>
  <c r="Z59" i="1"/>
  <c r="AB59" i="1" s="1"/>
  <c r="AD60" i="1"/>
  <c r="AF60" i="1" s="1"/>
  <c r="AC60" i="1"/>
  <c r="AC56" i="2" l="1"/>
  <c r="AD56" i="2"/>
  <c r="AF56" i="2" s="1"/>
  <c r="Z59" i="2"/>
  <c r="AB59" i="2" s="1"/>
  <c r="Y59" i="2"/>
  <c r="Z60" i="1"/>
  <c r="AB60" i="1" s="1"/>
  <c r="Y60" i="1"/>
  <c r="AD61" i="1"/>
  <c r="AF61" i="1" s="1"/>
  <c r="AC61" i="1"/>
  <c r="AC57" i="2" l="1"/>
  <c r="AD57" i="2"/>
  <c r="AF57" i="2" s="1"/>
  <c r="Y60" i="2"/>
  <c r="Z60" i="2"/>
  <c r="AB60" i="2" s="1"/>
  <c r="Y61" i="1"/>
  <c r="Z61" i="1"/>
  <c r="AB61" i="1" s="1"/>
  <c r="AD62" i="1"/>
  <c r="AF62" i="1" s="1"/>
  <c r="AC62" i="1"/>
  <c r="AC58" i="2" l="1"/>
  <c r="AD58" i="2"/>
  <c r="AF58" i="2" s="1"/>
  <c r="Y61" i="2"/>
  <c r="Z61" i="2"/>
  <c r="AB61" i="2" s="1"/>
  <c r="Z62" i="1"/>
  <c r="AB62" i="1" s="1"/>
  <c r="Y62" i="1"/>
  <c r="AC63" i="1"/>
  <c r="AD63" i="1"/>
  <c r="AF63" i="1" s="1"/>
  <c r="AC59" i="2" l="1"/>
  <c r="AD59" i="2"/>
  <c r="AF59" i="2" s="1"/>
  <c r="Z62" i="2"/>
  <c r="AB62" i="2" s="1"/>
  <c r="Y62" i="2"/>
  <c r="Y63" i="1"/>
  <c r="Z63" i="1"/>
  <c r="AB63" i="1" s="1"/>
  <c r="AD64" i="1"/>
  <c r="AF64" i="1" s="1"/>
  <c r="AC64" i="1"/>
  <c r="AC60" i="2" l="1"/>
  <c r="AD60" i="2"/>
  <c r="AF60" i="2" s="1"/>
  <c r="Z63" i="2"/>
  <c r="AB63" i="2" s="1"/>
  <c r="Y63" i="2"/>
  <c r="Y64" i="1"/>
  <c r="Z64" i="1"/>
  <c r="AB64" i="1" s="1"/>
  <c r="AD65" i="1"/>
  <c r="AF65" i="1" s="1"/>
  <c r="AC65" i="1"/>
  <c r="AC61" i="2" l="1"/>
  <c r="AD61" i="2"/>
  <c r="AF61" i="2" s="1"/>
  <c r="Z64" i="2"/>
  <c r="AB64" i="2" s="1"/>
  <c r="Y64" i="2"/>
  <c r="Y65" i="1"/>
  <c r="Z65" i="1"/>
  <c r="AB65" i="1" s="1"/>
  <c r="AD66" i="1"/>
  <c r="AF66" i="1" s="1"/>
  <c r="AC66" i="1"/>
  <c r="AD62" i="2" l="1"/>
  <c r="AF62" i="2" s="1"/>
  <c r="AC62" i="2"/>
  <c r="Y65" i="2"/>
  <c r="Z65" i="2"/>
  <c r="AB65" i="2" s="1"/>
  <c r="Y66" i="1"/>
  <c r="Z66" i="1"/>
  <c r="AB66" i="1" s="1"/>
  <c r="AD67" i="1"/>
  <c r="AF67" i="1" s="1"/>
  <c r="AC67" i="1"/>
  <c r="AD63" i="2" l="1"/>
  <c r="AF63" i="2" s="1"/>
  <c r="AC63" i="2"/>
  <c r="Z66" i="2"/>
  <c r="AB66" i="2" s="1"/>
  <c r="Y66" i="2"/>
  <c r="Z67" i="1"/>
  <c r="AB67" i="1" s="1"/>
  <c r="Y67" i="1"/>
  <c r="AC68" i="1"/>
  <c r="AD68" i="1"/>
  <c r="AF68" i="1" s="1"/>
  <c r="AD64" i="2" l="1"/>
  <c r="AF64" i="2" s="1"/>
  <c r="AC64" i="2"/>
  <c r="Z67" i="2"/>
  <c r="AB67" i="2" s="1"/>
  <c r="Y67" i="2"/>
  <c r="Y68" i="1"/>
  <c r="Z68" i="1"/>
  <c r="AB68" i="1" s="1"/>
  <c r="AD69" i="1"/>
  <c r="AF69" i="1" s="1"/>
  <c r="AC69" i="1"/>
  <c r="AC65" i="2" l="1"/>
  <c r="AD65" i="2"/>
  <c r="AF65" i="2" s="1"/>
  <c r="Y68" i="2"/>
  <c r="Z68" i="2"/>
  <c r="AB68" i="2" s="1"/>
  <c r="Y69" i="1"/>
  <c r="Z69" i="1"/>
  <c r="AB69" i="1" s="1"/>
  <c r="AD70" i="1"/>
  <c r="AF70" i="1" s="1"/>
  <c r="AC70" i="1"/>
  <c r="AC66" i="2" l="1"/>
  <c r="AD66" i="2"/>
  <c r="AF66" i="2" s="1"/>
  <c r="Y69" i="2"/>
  <c r="Z69" i="2"/>
  <c r="AB69" i="2" s="1"/>
  <c r="Z70" i="1"/>
  <c r="AB70" i="1" s="1"/>
  <c r="Y70" i="1"/>
  <c r="AD71" i="1"/>
  <c r="AF71" i="1" s="1"/>
  <c r="AC71" i="1"/>
  <c r="AC67" i="2" l="1"/>
  <c r="AD67" i="2"/>
  <c r="AF67" i="2" s="1"/>
  <c r="Y70" i="2"/>
  <c r="Z70" i="2"/>
  <c r="AB70" i="2" s="1"/>
  <c r="Y71" i="1"/>
  <c r="Z71" i="1"/>
  <c r="AB71" i="1" s="1"/>
  <c r="AD72" i="1"/>
  <c r="AF72" i="1" s="1"/>
  <c r="AC72" i="1"/>
  <c r="AD68" i="2" l="1"/>
  <c r="AF68" i="2" s="1"/>
  <c r="AC68" i="2"/>
  <c r="Y71" i="2"/>
  <c r="Z71" i="2"/>
  <c r="AB71" i="2" s="1"/>
  <c r="Y72" i="1"/>
  <c r="Z72" i="1"/>
  <c r="AB72" i="1" s="1"/>
  <c r="AC73" i="1"/>
  <c r="AD73" i="1"/>
  <c r="AF73" i="1" s="1"/>
  <c r="AC69" i="2" l="1"/>
  <c r="AD69" i="2"/>
  <c r="AF69" i="2" s="1"/>
  <c r="Y72" i="2"/>
  <c r="Z72" i="2"/>
  <c r="AB72" i="2" s="1"/>
  <c r="Y73" i="1"/>
  <c r="Z73" i="1"/>
  <c r="AB73" i="1" s="1"/>
  <c r="AC74" i="1"/>
  <c r="AD74" i="1"/>
  <c r="AF74" i="1" s="1"/>
  <c r="AD70" i="2" l="1"/>
  <c r="AF70" i="2" s="1"/>
  <c r="AC70" i="2"/>
  <c r="Y73" i="2"/>
  <c r="Z73" i="2"/>
  <c r="AB73" i="2" s="1"/>
  <c r="Z74" i="1"/>
  <c r="AB74" i="1" s="1"/>
  <c r="Y74" i="1"/>
  <c r="AC75" i="1"/>
  <c r="AD75" i="1"/>
  <c r="AF75" i="1" s="1"/>
  <c r="AD71" i="2" l="1"/>
  <c r="AF71" i="2" s="1"/>
  <c r="AC71" i="2"/>
  <c r="Y74" i="2"/>
  <c r="Z74" i="2"/>
  <c r="AB74" i="2" s="1"/>
  <c r="Z75" i="1"/>
  <c r="AB75" i="1" s="1"/>
  <c r="Y75" i="1"/>
  <c r="AC76" i="1"/>
  <c r="AD76" i="1"/>
  <c r="AF76" i="1" s="1"/>
  <c r="AD72" i="2" l="1"/>
  <c r="AF72" i="2" s="1"/>
  <c r="AC72" i="2"/>
  <c r="Z75" i="2"/>
  <c r="AB75" i="2" s="1"/>
  <c r="Y75" i="2"/>
  <c r="Y76" i="1"/>
  <c r="Z76" i="1"/>
  <c r="AB76" i="1" s="1"/>
  <c r="AC77" i="1"/>
  <c r="AD77" i="1"/>
  <c r="AF77" i="1" s="1"/>
  <c r="AC73" i="2" l="1"/>
  <c r="AD73" i="2"/>
  <c r="AF73" i="2" s="1"/>
  <c r="Z76" i="2"/>
  <c r="AB76" i="2" s="1"/>
  <c r="Y76" i="2"/>
  <c r="Y77" i="1"/>
  <c r="Z77" i="1"/>
  <c r="AB77" i="1" s="1"/>
  <c r="AD78" i="1"/>
  <c r="AF78" i="1" s="1"/>
  <c r="AC78" i="1"/>
  <c r="AC74" i="2" l="1"/>
  <c r="AD74" i="2"/>
  <c r="AF74" i="2" s="1"/>
  <c r="Y77" i="2"/>
  <c r="Z77" i="2"/>
  <c r="AB77" i="2" s="1"/>
  <c r="Y78" i="1"/>
  <c r="Z78" i="1"/>
  <c r="AB78" i="1" s="1"/>
  <c r="AC79" i="1"/>
  <c r="AD79" i="1"/>
  <c r="AF79" i="1" s="1"/>
  <c r="AD75" i="2" l="1"/>
  <c r="AF75" i="2" s="1"/>
  <c r="AC75" i="2"/>
  <c r="Y78" i="2"/>
  <c r="Z78" i="2"/>
  <c r="AB78" i="2" s="1"/>
  <c r="Z79" i="1"/>
  <c r="AB79" i="1" s="1"/>
  <c r="Y79" i="1"/>
  <c r="AC80" i="1"/>
  <c r="AD80" i="1"/>
  <c r="AF80" i="1" s="1"/>
  <c r="AD76" i="2" l="1"/>
  <c r="AF76" i="2" s="1"/>
  <c r="AC76" i="2"/>
  <c r="Y79" i="2"/>
  <c r="Z79" i="2"/>
  <c r="AB79" i="2" s="1"/>
  <c r="Z80" i="1"/>
  <c r="AB80" i="1" s="1"/>
  <c r="Y80" i="1"/>
  <c r="AD81" i="1"/>
  <c r="AF81" i="1" s="1"/>
  <c r="AC81" i="1"/>
  <c r="AC77" i="2" l="1"/>
  <c r="AD77" i="2"/>
  <c r="AF77" i="2" s="1"/>
  <c r="Z80" i="2"/>
  <c r="AB80" i="2" s="1"/>
  <c r="Y80" i="2"/>
  <c r="Y81" i="1"/>
  <c r="Z81" i="1"/>
  <c r="AB81" i="1" s="1"/>
  <c r="AD82" i="1"/>
  <c r="AF82" i="1" s="1"/>
  <c r="AC82" i="1"/>
  <c r="AD78" i="2" l="1"/>
  <c r="AF78" i="2" s="1"/>
  <c r="AC78" i="2"/>
  <c r="Z81" i="2"/>
  <c r="AB81" i="2" s="1"/>
  <c r="Y81" i="2"/>
  <c r="Y82" i="1"/>
  <c r="Z82" i="1"/>
  <c r="AB82" i="1" s="1"/>
  <c r="AD83" i="1"/>
  <c r="AF83" i="1" s="1"/>
  <c r="AC83" i="1"/>
  <c r="AC79" i="2" l="1"/>
  <c r="AD79" i="2"/>
  <c r="AF79" i="2" s="1"/>
  <c r="Z82" i="2"/>
  <c r="AB82" i="2" s="1"/>
  <c r="Y82" i="2"/>
  <c r="Z83" i="1"/>
  <c r="AB83" i="1" s="1"/>
  <c r="Y83" i="1"/>
  <c r="AD84" i="1"/>
  <c r="AF84" i="1" s="1"/>
  <c r="AC84" i="1"/>
  <c r="AD80" i="2" l="1"/>
  <c r="AF80" i="2" s="1"/>
  <c r="AC80" i="2"/>
  <c r="Z83" i="2"/>
  <c r="AB83" i="2" s="1"/>
  <c r="Y83" i="2"/>
  <c r="Y84" i="1"/>
  <c r="Z84" i="1"/>
  <c r="AB84" i="1" s="1"/>
  <c r="AD85" i="1"/>
  <c r="AF85" i="1" s="1"/>
  <c r="AC85" i="1"/>
  <c r="AD81" i="2" l="1"/>
  <c r="AF81" i="2" s="1"/>
  <c r="AC81" i="2"/>
  <c r="Y84" i="2"/>
  <c r="Z84" i="2"/>
  <c r="AB84" i="2" s="1"/>
  <c r="Z85" i="1"/>
  <c r="AB85" i="1" s="1"/>
  <c r="Y85" i="1"/>
  <c r="AC86" i="1"/>
  <c r="AD86" i="1"/>
  <c r="AF86" i="1" s="1"/>
  <c r="AD82" i="2" l="1"/>
  <c r="AF82" i="2" s="1"/>
  <c r="AC82" i="2"/>
  <c r="Y85" i="2"/>
  <c r="Z85" i="2"/>
  <c r="AB85" i="2" s="1"/>
  <c r="Y86" i="1"/>
  <c r="Z86" i="1"/>
  <c r="AB86" i="1" s="1"/>
  <c r="AD87" i="1"/>
  <c r="AF87" i="1" s="1"/>
  <c r="AC87" i="1"/>
  <c r="AC83" i="2" l="1"/>
  <c r="AD83" i="2"/>
  <c r="AF83" i="2" s="1"/>
  <c r="Y86" i="2"/>
  <c r="Z86" i="2"/>
  <c r="AB86" i="2" s="1"/>
  <c r="Z87" i="1"/>
  <c r="AB87" i="1" s="1"/>
  <c r="Y87" i="1"/>
  <c r="AD88" i="1"/>
  <c r="AF88" i="1" s="1"/>
  <c r="AC88" i="1"/>
  <c r="AC84" i="2" l="1"/>
  <c r="AD84" i="2"/>
  <c r="AF84" i="2" s="1"/>
  <c r="Z87" i="2"/>
  <c r="AB87" i="2" s="1"/>
  <c r="Y87" i="2"/>
  <c r="Z88" i="1"/>
  <c r="AB88" i="1" s="1"/>
  <c r="Y88" i="1"/>
  <c r="AC89" i="1"/>
  <c r="AD89" i="1"/>
  <c r="AF89" i="1" s="1"/>
  <c r="F12" i="3"/>
  <c r="AC85" i="2" l="1"/>
  <c r="AD85" i="2"/>
  <c r="AF85" i="2" s="1"/>
  <c r="Z88" i="2"/>
  <c r="AB88" i="2" s="1"/>
  <c r="Y88" i="2"/>
  <c r="Z89" i="1"/>
  <c r="AB89" i="1" s="1"/>
  <c r="Y89" i="1"/>
  <c r="AD90" i="1"/>
  <c r="AF90" i="1" s="1"/>
  <c r="AC90" i="1"/>
  <c r="AC86" i="2" l="1"/>
  <c r="AD86" i="2"/>
  <c r="AF86" i="2" s="1"/>
  <c r="Y89" i="2"/>
  <c r="Z89" i="2"/>
  <c r="AB89" i="2" s="1"/>
  <c r="Y90" i="1"/>
  <c r="Z90" i="1"/>
  <c r="AB90" i="1" s="1"/>
  <c r="AD91" i="1"/>
  <c r="AF91" i="1" s="1"/>
  <c r="AC91" i="1"/>
  <c r="AC87" i="2" l="1"/>
  <c r="AD87" i="2"/>
  <c r="AF87" i="2" s="1"/>
  <c r="Z90" i="2"/>
  <c r="AB90" i="2" s="1"/>
  <c r="Y90" i="2"/>
  <c r="Z91" i="1"/>
  <c r="AB91" i="1" s="1"/>
  <c r="Y91" i="1"/>
  <c r="AD92" i="1"/>
  <c r="AF92" i="1" s="1"/>
  <c r="AC92" i="1"/>
  <c r="AD88" i="2" l="1"/>
  <c r="AF88" i="2" s="1"/>
  <c r="AC88" i="2"/>
  <c r="Y91" i="2"/>
  <c r="Z91" i="2"/>
  <c r="AB91" i="2" s="1"/>
  <c r="Z92" i="1"/>
  <c r="AB92" i="1" s="1"/>
  <c r="Y92" i="1"/>
  <c r="AD93" i="1"/>
  <c r="AF93" i="1" s="1"/>
  <c r="AC93" i="1"/>
  <c r="AC89" i="2" l="1"/>
  <c r="AD89" i="2"/>
  <c r="AF89" i="2" s="1"/>
  <c r="Y92" i="2"/>
  <c r="Z92" i="2"/>
  <c r="AB92" i="2" s="1"/>
  <c r="Y93" i="1"/>
  <c r="Z93" i="1"/>
  <c r="AB93" i="1" s="1"/>
  <c r="AD94" i="1"/>
  <c r="AF94" i="1" s="1"/>
  <c r="AC94" i="1"/>
  <c r="AD90" i="2" l="1"/>
  <c r="AF90" i="2" s="1"/>
  <c r="AC90" i="2"/>
  <c r="Y93" i="2"/>
  <c r="Z93" i="2"/>
  <c r="AB93" i="2" s="1"/>
  <c r="Y94" i="1"/>
  <c r="Z94" i="1"/>
  <c r="AB94" i="1" s="1"/>
  <c r="AC95" i="1"/>
  <c r="AD95" i="1"/>
  <c r="AF95" i="1" s="1"/>
  <c r="AC91" i="2" l="1"/>
  <c r="AD91" i="2"/>
  <c r="AF91" i="2" s="1"/>
  <c r="Z94" i="2"/>
  <c r="AB94" i="2" s="1"/>
  <c r="Y94" i="2"/>
  <c r="Y95" i="1"/>
  <c r="Z95" i="1"/>
  <c r="AB95" i="1" s="1"/>
  <c r="AD96" i="1"/>
  <c r="AF96" i="1" s="1"/>
  <c r="AC96" i="1"/>
  <c r="AC92" i="2" l="1"/>
  <c r="AD92" i="2"/>
  <c r="AF92" i="2" s="1"/>
  <c r="Y95" i="2"/>
  <c r="Z95" i="2"/>
  <c r="AB95" i="2" s="1"/>
  <c r="Z96" i="1"/>
  <c r="AB96" i="1" s="1"/>
  <c r="Y96" i="1"/>
  <c r="AD97" i="1"/>
  <c r="AF97" i="1" s="1"/>
  <c r="AC97" i="1"/>
  <c r="AC93" i="2" l="1"/>
  <c r="AD93" i="2"/>
  <c r="AF93" i="2" s="1"/>
  <c r="Y96" i="2"/>
  <c r="Z96" i="2"/>
  <c r="AB96" i="2" s="1"/>
  <c r="Y97" i="1"/>
  <c r="Z97" i="1"/>
  <c r="AB97" i="1" s="1"/>
  <c r="AD98" i="1"/>
  <c r="AF98" i="1" s="1"/>
  <c r="AC98" i="1"/>
  <c r="AD94" i="2" l="1"/>
  <c r="AF94" i="2" s="1"/>
  <c r="AC94" i="2"/>
  <c r="Z97" i="2"/>
  <c r="AB97" i="2" s="1"/>
  <c r="Y97" i="2"/>
  <c r="Z98" i="1"/>
  <c r="AB98" i="1" s="1"/>
  <c r="Y98" i="1"/>
  <c r="AD99" i="1"/>
  <c r="AF99" i="1" s="1"/>
  <c r="AC99" i="1"/>
  <c r="AD95" i="2" l="1"/>
  <c r="AF95" i="2" s="1"/>
  <c r="AC95" i="2"/>
  <c r="Z98" i="2"/>
  <c r="AB98" i="2" s="1"/>
  <c r="Y98" i="2"/>
  <c r="Z99" i="1"/>
  <c r="AB99" i="1" s="1"/>
  <c r="Y99" i="1"/>
  <c r="AC100" i="1"/>
  <c r="AD100" i="1"/>
  <c r="AF100" i="1" s="1"/>
  <c r="AC96" i="2" l="1"/>
  <c r="AD96" i="2"/>
  <c r="AF96" i="2" s="1"/>
  <c r="Z99" i="2"/>
  <c r="AB99" i="2" s="1"/>
  <c r="Y99" i="2"/>
  <c r="Z100" i="1"/>
  <c r="AB100" i="1" s="1"/>
  <c r="Y100" i="1"/>
  <c r="AD101" i="1"/>
  <c r="AF101" i="1" s="1"/>
  <c r="AC101" i="1"/>
  <c r="AD97" i="2" l="1"/>
  <c r="AF97" i="2" s="1"/>
  <c r="AC97" i="2"/>
  <c r="Z100" i="2"/>
  <c r="AB100" i="2" s="1"/>
  <c r="Y100" i="2"/>
  <c r="Y101" i="1"/>
  <c r="Z101" i="1"/>
  <c r="AB101" i="1" s="1"/>
  <c r="AC102" i="1"/>
  <c r="AD102" i="1"/>
  <c r="AF102" i="1" s="1"/>
  <c r="AC98" i="2" l="1"/>
  <c r="AD98" i="2"/>
  <c r="AF98" i="2" s="1"/>
  <c r="Z101" i="2"/>
  <c r="AB101" i="2" s="1"/>
  <c r="Y101" i="2"/>
  <c r="Y102" i="1"/>
  <c r="Z102" i="1"/>
  <c r="AB102" i="1" s="1"/>
  <c r="AD103" i="1"/>
  <c r="AF103" i="1" s="1"/>
  <c r="AC103" i="1"/>
  <c r="AD99" i="2" l="1"/>
  <c r="AF99" i="2" s="1"/>
  <c r="AC99" i="2"/>
  <c r="Y102" i="2"/>
  <c r="Z102" i="2"/>
  <c r="AB102" i="2" s="1"/>
  <c r="Z103" i="1"/>
  <c r="AB103" i="1" s="1"/>
  <c r="Y103" i="1"/>
  <c r="AC104" i="1"/>
  <c r="AD104" i="1"/>
  <c r="AF104" i="1" s="1"/>
  <c r="AC100" i="2" l="1"/>
  <c r="AD100" i="2"/>
  <c r="AF100" i="2" s="1"/>
  <c r="Y103" i="2"/>
  <c r="Z103" i="2"/>
  <c r="AB103" i="2" s="1"/>
  <c r="Z104" i="1"/>
  <c r="AB104" i="1" s="1"/>
  <c r="Y104" i="1"/>
  <c r="AD101" i="2" l="1"/>
  <c r="AF101" i="2" s="1"/>
  <c r="AC101" i="2"/>
  <c r="Y104" i="2"/>
  <c r="Z104" i="2"/>
  <c r="AB104" i="2" s="1"/>
  <c r="AC102" i="2" l="1"/>
  <c r="AD102" i="2"/>
  <c r="AF102" i="2" s="1"/>
  <c r="AC103" i="2" l="1"/>
  <c r="AD103" i="2"/>
  <c r="AF103" i="2" s="1"/>
  <c r="AC104" i="2" l="1"/>
  <c r="AD104" i="2"/>
  <c r="AF104" i="2" s="1"/>
  <c r="D63" i="3"/>
  <c r="D72" i="3"/>
  <c r="D57" i="3"/>
  <c r="D19" i="3" l="1"/>
  <c r="E19" i="3" s="1"/>
  <c r="F19" i="3" s="1"/>
  <c r="D74" i="3"/>
  <c r="D27" i="3"/>
  <c r="E27" i="3" s="1"/>
  <c r="F27" i="3" s="1"/>
  <c r="D22" i="3"/>
  <c r="E22" i="3" s="1"/>
  <c r="F22" i="3" s="1"/>
  <c r="D62" i="3"/>
  <c r="D66" i="3"/>
  <c r="D70" i="3"/>
  <c r="D34" i="3"/>
  <c r="E34" i="3" s="1"/>
  <c r="F34" i="3" s="1"/>
  <c r="D41" i="3"/>
  <c r="D21" i="3"/>
  <c r="E21" i="3" s="1"/>
  <c r="F21" i="3" s="1"/>
  <c r="D9" i="3"/>
  <c r="E9" i="3" s="1"/>
  <c r="F9" i="3" s="1"/>
  <c r="D67" i="3"/>
  <c r="D32" i="3"/>
  <c r="E32" i="3" s="1"/>
  <c r="D61" i="3"/>
  <c r="D39" i="3"/>
  <c r="D5" i="3"/>
  <c r="E5" i="3" s="1"/>
  <c r="F5" i="3" s="1"/>
  <c r="D33" i="3"/>
  <c r="E33" i="3" s="1"/>
  <c r="F33" i="3" s="1"/>
  <c r="D11" i="3"/>
  <c r="E11" i="3" s="1"/>
  <c r="F11" i="3" s="1"/>
  <c r="D4" i="3"/>
  <c r="E4" i="3" s="1"/>
  <c r="F4" i="3" s="1"/>
  <c r="D36" i="3"/>
  <c r="D17" i="3"/>
  <c r="E17" i="3" s="1"/>
  <c r="F17" i="3" s="1"/>
  <c r="D20" i="3"/>
  <c r="E20" i="3" s="1"/>
  <c r="F20" i="3" s="1"/>
  <c r="D29" i="3"/>
  <c r="E29" i="3" s="1"/>
  <c r="D15" i="3"/>
  <c r="E15" i="3" s="1"/>
  <c r="F15" i="3" s="1"/>
  <c r="D55" i="3"/>
  <c r="D46" i="3"/>
  <c r="D47" i="3"/>
  <c r="D50" i="3"/>
  <c r="D42" i="3"/>
  <c r="D52" i="3"/>
  <c r="D37" i="3"/>
  <c r="D30" i="3"/>
  <c r="E30" i="3" s="1"/>
  <c r="D44" i="3"/>
  <c r="D51" i="3"/>
  <c r="D18" i="3"/>
  <c r="E18" i="3" s="1"/>
  <c r="F18" i="3" s="1"/>
  <c r="D35" i="3"/>
  <c r="E35" i="3" s="1"/>
  <c r="D64" i="3"/>
  <c r="D48" i="3"/>
  <c r="D71" i="3"/>
  <c r="D24" i="3"/>
  <c r="E24" i="3" s="1"/>
  <c r="F24" i="3" s="1"/>
  <c r="D40" i="3"/>
  <c r="D60" i="3"/>
  <c r="D43" i="3"/>
  <c r="D10" i="3"/>
  <c r="E10" i="3" s="1"/>
  <c r="F10" i="3" s="1"/>
  <c r="D28" i="3"/>
  <c r="E28" i="3" s="1"/>
  <c r="F28" i="3" s="1"/>
  <c r="D49" i="3"/>
  <c r="D59" i="3"/>
  <c r="D68" i="3"/>
  <c r="D14" i="3"/>
  <c r="E14" i="3" s="1"/>
  <c r="F14" i="3" s="1"/>
  <c r="D26" i="3"/>
  <c r="E26" i="3" s="1"/>
  <c r="F26" i="3" s="1"/>
  <c r="D38" i="3"/>
  <c r="D45" i="3"/>
  <c r="D7" i="3"/>
  <c r="E7" i="3" s="1"/>
  <c r="F7" i="3" s="1"/>
  <c r="D13" i="3"/>
  <c r="E13" i="3" s="1"/>
  <c r="F13" i="3" s="1"/>
  <c r="D56" i="3"/>
  <c r="D16" i="3"/>
  <c r="E16" i="3" s="1"/>
  <c r="F16" i="3" s="1"/>
  <c r="D23" i="3"/>
  <c r="E23" i="3" s="1"/>
  <c r="F23" i="3" s="1"/>
  <c r="D75" i="3"/>
  <c r="D8" i="3"/>
  <c r="E8" i="3" s="1"/>
  <c r="F8" i="3" s="1"/>
  <c r="D69" i="3"/>
  <c r="D54" i="3"/>
  <c r="D73" i="3"/>
  <c r="D25" i="3"/>
  <c r="E25" i="3" s="1"/>
  <c r="F25" i="3" s="1"/>
  <c r="D58" i="3"/>
  <c r="D31" i="3"/>
  <c r="E31" i="3" s="1"/>
  <c r="F31" i="3" s="1"/>
  <c r="D65" i="3"/>
  <c r="D6" i="3"/>
  <c r="E6" i="3" s="1"/>
  <c r="F6" i="3" s="1"/>
  <c r="D53" i="3"/>
  <c r="F30" i="3" l="1"/>
  <c r="B11" i="4"/>
  <c r="B9" i="4"/>
  <c r="F29" i="3"/>
  <c r="B10" i="4"/>
  <c r="F32" i="3"/>
  <c r="B21" i="4"/>
  <c r="B19" i="4"/>
  <c r="F35" i="3"/>
  <c r="B20" i="4"/>
</calcChain>
</file>

<file path=xl/sharedStrings.xml><?xml version="1.0" encoding="utf-8"?>
<sst xmlns="http://schemas.openxmlformats.org/spreadsheetml/2006/main" count="319" uniqueCount="210">
  <si>
    <t>EOS P110 — Old P110 Build Log</t>
  </si>
  <si>
    <t>Build info</t>
  </si>
  <si>
    <t>Slot 1 bucket</t>
  </si>
  <si>
    <t>Slot 2 bucket</t>
  </si>
  <si>
    <t>Usage</t>
  </si>
  <si>
    <t>Result</t>
  </si>
  <si>
    <t>Powder source (FIFO: funnel→slot1→slot2)</t>
  </si>
  <si>
    <t>Slot remaining</t>
  </si>
  <si>
    <t>Notes</t>
  </si>
  <si>
    <t>Calculated detail (click + to expand)</t>
  </si>
  <si>
    <t>Build #</t>
  </si>
  <si>
    <t>Date</t>
  </si>
  <si>
    <t>Cleaned Chamber?</t>
  </si>
  <si>
    <t>Slot 1 Cycle</t>
  </si>
  <si>
    <t>Slot 1 Bucket</t>
  </si>
  <si>
    <t>Slot 2 Cycle</t>
  </si>
  <si>
    <t>Slot 2 Bucket</t>
  </si>
  <si>
    <t>Calc. usage (kg)</t>
  </si>
  <si>
    <t>Total drawn (kg)</t>
  </si>
  <si>
    <t>Total LEFT (kg)</t>
  </si>
  <si>
    <t>Draw from funnel</t>
  </si>
  <si>
    <t>Draw from slot 1</t>
  </si>
  <si>
    <t>Draw from slot 2</t>
  </si>
  <si>
    <t>Slot 1 left</t>
  </si>
  <si>
    <t>Slot 2 left</t>
  </si>
  <si>
    <t>Eff S1 Cyc</t>
  </si>
  <si>
    <t>Eff S1 Bkt</t>
  </si>
  <si>
    <t>Eff S2 Cyc</t>
  </si>
  <si>
    <t>Eff S2 Bkt</t>
  </si>
  <si>
    <t>Slot 1 Key</t>
  </si>
  <si>
    <t>Slot 2 Key</t>
  </si>
  <si>
    <t>Swap1?</t>
  </si>
  <si>
    <t>Swap2?</t>
  </si>
  <si>
    <t>Funnel1 bkt</t>
  </si>
  <si>
    <t>Funnel1 start</t>
  </si>
  <si>
    <t>Funnel1 used</t>
  </si>
  <si>
    <t>Funnel1 end</t>
  </si>
  <si>
    <t>Funnel2 bkt</t>
  </si>
  <si>
    <t>Funnel2 start</t>
  </si>
  <si>
    <t>Funnel2 used</t>
  </si>
  <si>
    <t>Funnel2 end</t>
  </si>
  <si>
    <t>Roller fill (kg)</t>
  </si>
  <si>
    <t>Slot 1 avail</t>
  </si>
  <si>
    <t>Slot 2 avail</t>
  </si>
  <si>
    <t>Total avail</t>
  </si>
  <si>
    <t>M1</t>
  </si>
  <si>
    <t>A</t>
  </si>
  <si>
    <t>B</t>
  </si>
  <si>
    <t>Totals</t>
  </si>
  <si>
    <t>EOS P110 — New P110 Build Log</t>
  </si>
  <si>
    <t>Bucket Status — 9 mix cycles × 8 buckets</t>
  </si>
  <si>
    <t>Bucket key</t>
  </si>
  <si>
    <t>Last fill</t>
  </si>
  <si>
    <t>Total drawn</t>
  </si>
  <si>
    <t>Est. remaining</t>
  </si>
  <si>
    <t>Status</t>
  </si>
  <si>
    <t>LOT#</t>
  </si>
  <si>
    <t>Full weight (kg)</t>
  </si>
  <si>
    <t>Date filled</t>
  </si>
  <si>
    <t>Est. remaining (kg)</t>
  </si>
  <si>
    <t>LOT# (auto)</t>
  </si>
  <si>
    <t>M1A-</t>
  </si>
  <si>
    <t>M1B-</t>
  </si>
  <si>
    <t>M1C-</t>
  </si>
  <si>
    <t>M1D-</t>
  </si>
  <si>
    <t>M1E-</t>
  </si>
  <si>
    <t>M1F-</t>
  </si>
  <si>
    <t>M1G-</t>
  </si>
  <si>
    <t>M1H-</t>
  </si>
  <si>
    <t>M2A-</t>
  </si>
  <si>
    <t>M2B-</t>
  </si>
  <si>
    <t>M2C-</t>
  </si>
  <si>
    <t>M2D-</t>
  </si>
  <si>
    <t>M2E-</t>
  </si>
  <si>
    <t>M2F-</t>
  </si>
  <si>
    <t>M2G-</t>
  </si>
  <si>
    <t>M2H-</t>
  </si>
  <si>
    <t>M3A-</t>
  </si>
  <si>
    <t>M3B-</t>
  </si>
  <si>
    <t>M3C-</t>
  </si>
  <si>
    <t>M3D-</t>
  </si>
  <si>
    <t>M3E-</t>
  </si>
  <si>
    <t>M3F-</t>
  </si>
  <si>
    <t>M3G-</t>
  </si>
  <si>
    <t>M3H-</t>
  </si>
  <si>
    <t>M4A-</t>
  </si>
  <si>
    <t>M4B-</t>
  </si>
  <si>
    <t>M4C-</t>
  </si>
  <si>
    <t>M4D-</t>
  </si>
  <si>
    <t>M4E-</t>
  </si>
  <si>
    <t>M4F-</t>
  </si>
  <si>
    <t>M4G-</t>
  </si>
  <si>
    <t>M4H-</t>
  </si>
  <si>
    <t>M5A-</t>
  </si>
  <si>
    <t>M5B-</t>
  </si>
  <si>
    <t>M5C-</t>
  </si>
  <si>
    <t>M5D-</t>
  </si>
  <si>
    <t>M5E-</t>
  </si>
  <si>
    <t>M5F-</t>
  </si>
  <si>
    <t>M5G-</t>
  </si>
  <si>
    <t>M5H-</t>
  </si>
  <si>
    <t>M6A-</t>
  </si>
  <si>
    <t>M6B-</t>
  </si>
  <si>
    <t>M6C-</t>
  </si>
  <si>
    <t>M6D-</t>
  </si>
  <si>
    <t>M6E-</t>
  </si>
  <si>
    <t>M6F-</t>
  </si>
  <si>
    <t>M6G-</t>
  </si>
  <si>
    <t>M6H-</t>
  </si>
  <si>
    <t>M7A-</t>
  </si>
  <si>
    <t>M7B-</t>
  </si>
  <si>
    <t>M7C-</t>
  </si>
  <si>
    <t>M7D-</t>
  </si>
  <si>
    <t>M7E-</t>
  </si>
  <si>
    <t>M7F-</t>
  </si>
  <si>
    <t>M7G-</t>
  </si>
  <si>
    <t>M7H-</t>
  </si>
  <si>
    <t>M8A-</t>
  </si>
  <si>
    <t>M8B-</t>
  </si>
  <si>
    <t>M8C-</t>
  </si>
  <si>
    <t>M8D-</t>
  </si>
  <si>
    <t>M8E-</t>
  </si>
  <si>
    <t>M8F-</t>
  </si>
  <si>
    <t>M8G-</t>
  </si>
  <si>
    <t>M8H-</t>
  </si>
  <si>
    <t>M9A-</t>
  </si>
  <si>
    <t>M9B-</t>
  </si>
  <si>
    <t>M9C-</t>
  </si>
  <si>
    <t>M9D-</t>
  </si>
  <si>
    <t>M9E-</t>
  </si>
  <si>
    <t>M9F-</t>
  </si>
  <si>
    <t>M9G-</t>
  </si>
  <si>
    <t>M9H-</t>
  </si>
  <si>
    <t>Status key</t>
  </si>
  <si>
    <t>OK — powder available</t>
  </si>
  <si>
    <t>Low — below warning threshold</t>
  </si>
  <si>
    <t>Empty — fully depleted</t>
  </si>
  <si>
    <t>Not filled — no weight recorded</t>
  </si>
  <si>
    <t>Machine Dashboard — Live Powder Status</t>
  </si>
  <si>
    <t>Fully automatic — reads the latest build on each machine. Nothing to enter here.</t>
  </si>
  <si>
    <t>Old P110</t>
  </si>
  <si>
    <t>Last build #</t>
  </si>
  <si>
    <t>Print date</t>
  </si>
  <si>
    <t>Powder used (this build)</t>
  </si>
  <si>
    <t>LOT#s used</t>
  </si>
  <si>
    <t>Slot 1 remaining</t>
  </si>
  <si>
    <t>Slot 2 remaining</t>
  </si>
  <si>
    <t>Powder left on machine</t>
  </si>
  <si>
    <t>New P110</t>
  </si>
  <si>
    <t>Settings</t>
  </si>
  <si>
    <t>Low powder warning (kg)</t>
  </si>
  <si>
    <t>Bucket remaining below this shows Low status</t>
  </si>
  <si>
    <t>Left roller capacity (kg)</t>
  </si>
  <si>
    <t>Powder to fill left dosing roller from empty</t>
  </si>
  <si>
    <t>Right roller capacity (kg)</t>
  </si>
  <si>
    <t>Powder to fill right dosing roller from empty</t>
  </si>
  <si>
    <t>Funnel capacity (kg)</t>
  </si>
  <si>
    <t>Max powder the shared funnel holds. On a bucket swap, the leftover of the outgoing bucket stays in the funnel and is consumed first (old slot 1, then old slot 2).</t>
  </si>
  <si>
    <t>— Reference only (not used in calculations) —</t>
  </si>
  <si>
    <t>Edge waste constant (kg)</t>
  </si>
  <si>
    <t>FOR REFERENCE — handled in the powder calculator, not linked to any formula</t>
  </si>
  <si>
    <t>Edge waste factor (kg/mm)</t>
  </si>
  <si>
    <t>temp search</t>
  </si>
  <si>
    <t>Y</t>
  </si>
  <si>
    <t>E</t>
  </si>
  <si>
    <t>F</t>
  </si>
  <si>
    <t>B-2757</t>
  </si>
  <si>
    <t>B-2758</t>
  </si>
  <si>
    <t>B-2759</t>
  </si>
  <si>
    <t>G</t>
  </si>
  <si>
    <t>B-2761</t>
  </si>
  <si>
    <t>C</t>
  </si>
  <si>
    <t>D</t>
  </si>
  <si>
    <t>B-2760</t>
  </si>
  <si>
    <t>H</t>
  </si>
  <si>
    <t>B-2762</t>
  </si>
  <si>
    <t>B-2764</t>
  </si>
  <si>
    <t>M2</t>
  </si>
  <si>
    <t>B-2765</t>
  </si>
  <si>
    <t>B-2766</t>
  </si>
  <si>
    <t>FAIL ADJUSTED USE</t>
  </si>
  <si>
    <t>B-2767</t>
  </si>
  <si>
    <t>B-2768</t>
  </si>
  <si>
    <t>B-2769</t>
  </si>
  <si>
    <t>B-2770</t>
  </si>
  <si>
    <t>B-2771</t>
  </si>
  <si>
    <t>B-2772</t>
  </si>
  <si>
    <t>B-2773</t>
  </si>
  <si>
    <t>B-2775</t>
  </si>
  <si>
    <t>B-2776</t>
  </si>
  <si>
    <t>B-2778</t>
  </si>
  <si>
    <t>M3</t>
  </si>
  <si>
    <t>B-2777</t>
  </si>
  <si>
    <t>B-2780</t>
  </si>
  <si>
    <t>B-2781</t>
  </si>
  <si>
    <t>B-2783</t>
  </si>
  <si>
    <t>B-2784</t>
  </si>
  <si>
    <t>B-2785</t>
  </si>
  <si>
    <t>B-2786</t>
  </si>
  <si>
    <t>B-2788</t>
  </si>
  <si>
    <t>B-2789</t>
  </si>
  <si>
    <t xml:space="preserve">  </t>
  </si>
  <si>
    <t>M4</t>
  </si>
  <si>
    <t>B-2792</t>
  </si>
  <si>
    <t>B-2793</t>
  </si>
  <si>
    <t>B-2792(2nd)</t>
  </si>
  <si>
    <t>B-2795</t>
  </si>
  <si>
    <t xml:space="preserve"> </t>
  </si>
  <si>
    <t>B-2792(3rd)</t>
  </si>
  <si>
    <t>B-2796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</si>
</sst>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&quot; kg&quot;"/>
    <numFmt numFmtId="165" formatCode="mm/dd/yyyy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rgb="FF3F3F3F"/>
      <name val="Arial"/>
      <family val="2"/>
    </font>
    <font>
      <b/>
      <sz val="12"/>
      <color rgb="FF1F4E79"/>
      <name val="Arial"/>
      <family val="2"/>
    </font>
    <font>
      <b/>
      <sz val="10"/>
      <color rgb="FF7030A0"/>
      <name val="Arial"/>
      <family val="2"/>
    </font>
    <font>
      <b/>
      <sz val="10"/>
      <color rgb="FF1F4E79"/>
      <name val="Arial"/>
      <family val="2"/>
    </font>
    <font>
      <b/>
      <sz val="10"/>
      <color rgb="FF375623"/>
      <name val="Arial"/>
      <family val="2"/>
    </font>
    <font>
      <b/>
      <i/>
      <sz val="10"/>
      <color rgb="FF1F4E79"/>
      <name val="Arial"/>
      <family val="2"/>
    </font>
    <font>
      <b/>
      <i/>
      <sz val="10"/>
      <color rgb="FF375623"/>
      <name val="Arial"/>
      <family val="2"/>
    </font>
    <font>
      <i/>
      <sz val="10"/>
      <color rgb="FF3F3F3F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1"/>
      <color rgb="FF375623"/>
      <name val="Arial"/>
      <family val="2"/>
    </font>
    <font>
      <b/>
      <sz val="12"/>
      <color rgb="FF375623"/>
      <name val="Arial"/>
      <family val="2"/>
    </font>
    <font>
      <sz val="10"/>
      <color rgb="FF0000FF"/>
      <name val="Arial"/>
      <family val="2"/>
    </font>
    <font>
      <sz val="10"/>
      <color rgb="FF595959"/>
      <name val="Arial"/>
      <family val="2"/>
    </font>
    <font>
      <b/>
      <i/>
      <sz val="10"/>
      <color rgb="FF808080"/>
      <name val="Arial"/>
      <family val="2"/>
    </font>
    <font>
      <i/>
      <sz val="10"/>
      <color rgb="FF80808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2E75B6"/>
        <bgColor rgb="FF2F5496"/>
      </patternFill>
    </fill>
    <fill>
      <patternFill patternType="solid">
        <fgColor rgb="FFD9E1F2"/>
        <bgColor rgb="FFE0E0E0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9E1F2"/>
      </patternFill>
    </fill>
    <fill>
      <patternFill patternType="solid">
        <fgColor rgb="FFE2EFDA"/>
        <bgColor rgb="FFEAF3DE"/>
      </patternFill>
    </fill>
    <fill>
      <patternFill patternType="solid">
        <fgColor rgb="FFEDEDED"/>
        <bgColor rgb="FFF3E6F5"/>
      </patternFill>
    </fill>
    <fill>
      <patternFill patternType="solid">
        <fgColor rgb="FFEAF3DE"/>
        <bgColor rgb="FFE2EFDA"/>
      </patternFill>
    </fill>
    <fill>
      <patternFill patternType="solid">
        <fgColor rgb="FFF3E6F5"/>
        <bgColor rgb="FFEDEDED"/>
      </patternFill>
    </fill>
    <fill>
      <patternFill patternType="solid">
        <fgColor rgb="FFFFFFFF"/>
        <bgColor rgb="FFFFFDE7"/>
      </patternFill>
    </fill>
    <fill>
      <patternFill patternType="solid">
        <fgColor rgb="FFC65911"/>
        <bgColor rgb="FF993300"/>
      </patternFill>
    </fill>
    <fill>
      <patternFill patternType="solid">
        <fgColor rgb="FF375623"/>
        <bgColor rgb="FF404040"/>
      </patternFill>
    </fill>
    <fill>
      <patternFill patternType="solid">
        <fgColor rgb="FFBDD7EE"/>
        <bgColor rgb="FFD9E1F2"/>
      </patternFill>
    </fill>
    <fill>
      <patternFill patternType="solid">
        <fgColor rgb="FF404040"/>
        <bgColor rgb="FF3F3F3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0E0E0"/>
      </patternFill>
    </fill>
    <fill>
      <patternFill patternType="solid">
        <fgColor rgb="FF7030A0"/>
        <bgColor rgb="FF993366"/>
      </patternFill>
    </fill>
    <fill>
      <patternFill patternType="solid">
        <fgColor rgb="FFE0E0E0"/>
        <bgColor rgb="FFD9E1F2"/>
      </patternFill>
    </fill>
    <fill>
      <patternFill patternType="solid">
        <fgColor theme="5" tint="0.39997558519241921"/>
        <bgColor rgb="FFFFFDE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D9E1F2"/>
      </patternFill>
    </fill>
    <fill>
      <patternFill patternType="solid">
        <fgColor theme="5" tint="0.39997558519241921"/>
        <bgColor rgb="FFEAF3DE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164" fontId="3" fillId="4" borderId="3" xfId="0" applyNumberFormat="1" applyFont="1" applyFill="1" applyBorder="1" applyAlignment="1" applyProtection="1">
      <alignment horizontal="right" vertical="center"/>
      <protection locked="0"/>
    </xf>
    <xf numFmtId="164" fontId="4" fillId="8" borderId="2" xfId="0" applyNumberFormat="1" applyFont="1" applyFill="1" applyBorder="1" applyAlignment="1">
      <alignment horizontal="right" vertical="center"/>
    </xf>
    <xf numFmtId="164" fontId="5" fillId="9" borderId="2" xfId="0" applyNumberFormat="1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3" fillId="11" borderId="3" xfId="0" applyFont="1" applyFill="1" applyBorder="1" applyAlignment="1" applyProtection="1">
      <alignment horizontal="left" vertical="center"/>
      <protection locked="0"/>
    </xf>
    <xf numFmtId="0" fontId="11" fillId="6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right" vertical="center"/>
    </xf>
    <xf numFmtId="0" fontId="11" fillId="10" borderId="2" xfId="0" applyFont="1" applyFill="1" applyBorder="1" applyAlignment="1">
      <alignment horizontal="right" vertical="center"/>
    </xf>
    <xf numFmtId="164" fontId="11" fillId="10" borderId="2" xfId="0" applyNumberFormat="1" applyFont="1" applyFill="1" applyBorder="1" applyAlignment="1">
      <alignment horizontal="right" vertical="center"/>
    </xf>
    <xf numFmtId="164" fontId="11" fillId="5" borderId="2" xfId="0" applyNumberFormat="1" applyFont="1" applyFill="1" applyBorder="1" applyAlignment="1">
      <alignment horizontal="right" vertical="center"/>
    </xf>
    <xf numFmtId="164" fontId="11" fillId="6" borderId="2" xfId="0" applyNumberFormat="1" applyFont="1" applyFill="1" applyBorder="1" applyAlignment="1">
      <alignment horizontal="right" vertical="center"/>
    </xf>
    <xf numFmtId="164" fontId="11" fillId="7" borderId="2" xfId="0" applyNumberFormat="1" applyFont="1" applyFill="1" applyBorder="1" applyAlignment="1">
      <alignment horizontal="right" vertical="center"/>
    </xf>
    <xf numFmtId="164" fontId="4" fillId="9" borderId="2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2" fillId="12" borderId="2" xfId="0" applyFont="1" applyFill="1" applyBorder="1" applyAlignment="1">
      <alignment horizontal="center" vertical="center" wrapText="1"/>
    </xf>
    <xf numFmtId="164" fontId="12" fillId="12" borderId="2" xfId="0" applyNumberFormat="1" applyFont="1" applyFill="1" applyBorder="1" applyAlignment="1">
      <alignment horizontal="right" vertical="center"/>
    </xf>
    <xf numFmtId="0" fontId="0" fillId="12" borderId="2" xfId="0" applyFill="1" applyBorder="1"/>
    <xf numFmtId="0" fontId="2" fillId="13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right" vertical="center"/>
    </xf>
    <xf numFmtId="0" fontId="14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0" fillId="16" borderId="2" xfId="0" applyFill="1" applyBorder="1"/>
    <xf numFmtId="0" fontId="0" fillId="17" borderId="2" xfId="0" applyFill="1" applyBorder="1"/>
    <xf numFmtId="0" fontId="0" fillId="8" borderId="2" xfId="0" applyFill="1" applyBorder="1"/>
    <xf numFmtId="0" fontId="14" fillId="0" borderId="2" xfId="0" applyFont="1" applyBorder="1" applyAlignment="1">
      <alignment horizontal="left" vertical="center"/>
    </xf>
    <xf numFmtId="164" fontId="20" fillId="4" borderId="3" xfId="0" applyNumberFormat="1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164" fontId="23" fillId="19" borderId="2" xfId="0" applyNumberFormat="1" applyFont="1" applyFill="1" applyBorder="1" applyAlignment="1" applyProtection="1">
      <alignment horizontal="right" vertical="center"/>
      <protection locked="0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4" fillId="10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165" fontId="2" fillId="2" borderId="2" xfId="0" applyNumberFormat="1" applyFont="1" applyFill="1" applyBorder="1" applyAlignment="1">
      <alignment horizontal="center" vertical="center" wrapText="1"/>
    </xf>
    <xf numFmtId="165" fontId="2" fillId="12" borderId="2" xfId="0" applyNumberFormat="1" applyFont="1" applyFill="1" applyBorder="1" applyAlignment="1">
      <alignment horizontal="center" vertical="center" wrapText="1"/>
    </xf>
    <xf numFmtId="165" fontId="2" fillId="13" borderId="2" xfId="0" applyNumberFormat="1" applyFont="1" applyFill="1" applyBorder="1" applyAlignment="1">
      <alignment horizontal="center" vertical="center" wrapText="1"/>
    </xf>
    <xf numFmtId="0" fontId="3" fillId="20" borderId="3" xfId="0" applyFont="1" applyFill="1" applyBorder="1" applyAlignment="1" applyProtection="1">
      <alignment horizontal="left" vertical="center"/>
      <protection locked="0"/>
    </xf>
    <xf numFmtId="165" fontId="3" fillId="20" borderId="3" xfId="0" applyNumberFormat="1" applyFont="1" applyFill="1" applyBorder="1" applyAlignment="1" applyProtection="1">
      <alignment horizontal="center" vertical="center"/>
      <protection locked="0"/>
    </xf>
    <xf numFmtId="0" fontId="3" fillId="21" borderId="3" xfId="0" applyFont="1" applyFill="1" applyBorder="1" applyAlignment="1" applyProtection="1">
      <alignment horizontal="center" vertical="center"/>
      <protection locked="0"/>
    </xf>
    <xf numFmtId="0" fontId="3" fillId="22" borderId="3" xfId="0" applyFont="1" applyFill="1" applyBorder="1" applyAlignment="1" applyProtection="1">
      <alignment horizontal="center" vertical="center"/>
      <protection locked="0"/>
    </xf>
    <xf numFmtId="0" fontId="3" fillId="23" borderId="3" xfId="0" applyFont="1" applyFill="1" applyBorder="1" applyAlignment="1" applyProtection="1">
      <alignment horizontal="center" vertical="center"/>
      <protection locked="0"/>
    </xf>
    <xf numFmtId="164" fontId="3" fillId="20" borderId="3" xfId="0" applyNumberFormat="1" applyFont="1" applyFill="1" applyBorder="1" applyAlignment="1" applyProtection="1">
      <alignment horizontal="right" vertical="center"/>
      <protection locked="0"/>
    </xf>
    <xf numFmtId="14" fontId="3" fillId="4" borderId="3" xfId="0" applyNumberFormat="1" applyFont="1" applyFill="1" applyBorder="1" applyAlignment="1" applyProtection="1">
      <alignment horizontal="left" vertical="center"/>
      <protection locked="0"/>
    </xf>
    <xf numFmtId="0" fontId="1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3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64" fontId="19" fillId="7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</cellXfs>
  <cellStyles count="1">
    <cellStyle name="Normal" xfId="0" builtinId="0"/>
  </cellStyles>
  <dxfs count="8">
    <dxf>
      <font>
        <b/>
        <sz val="12"/>
        <color rgb="FF375623"/>
        <name val="Arial"/>
        <charset val="1"/>
      </font>
      <fill>
        <patternFill>
          <bgColor rgb="FFC6EFCE"/>
        </patternFill>
      </fill>
    </dxf>
    <dxf>
      <font>
        <b/>
        <sz val="12"/>
        <color rgb="FF7F6000"/>
        <name val="Arial"/>
        <charset val="1"/>
      </font>
      <fill>
        <patternFill>
          <bgColor rgb="FFFFEB9C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  <dxf>
      <font>
        <b/>
        <sz val="12"/>
        <color rgb="FF375623"/>
        <name val="Arial"/>
        <charset val="1"/>
      </font>
      <fill>
        <patternFill>
          <bgColor rgb="FFC6EFCE"/>
        </patternFill>
      </fill>
    </dxf>
    <dxf>
      <font>
        <b/>
        <sz val="12"/>
        <color rgb="FF7F6000"/>
        <name val="Arial"/>
        <charset val="1"/>
      </font>
      <fill>
        <patternFill>
          <bgColor rgb="FFFFEB9C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EDEDED"/>
      <rgbColor rgb="FF7030A0"/>
      <rgbColor rgb="FFFFFDE7"/>
      <rgbColor rgb="FFDEEAF1"/>
      <rgbColor rgb="FF660066"/>
      <rgbColor rgb="FFFF8080"/>
      <rgbColor rgb="FF0066CC"/>
      <rgbColor rgb="FFBDD7EE"/>
      <rgbColor rgb="FF000080"/>
      <rgbColor rgb="FFFF00FF"/>
      <rgbColor rgb="FFEAF3DE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3E6F5"/>
      <rgbColor rgb="FFE0E0E0"/>
      <rgbColor rgb="FFFFC7CE"/>
      <rgbColor rgb="FF2E75B6"/>
      <rgbColor rgb="FF33CCCC"/>
      <rgbColor rgb="FF99CC00"/>
      <rgbColor rgb="FFFFCC00"/>
      <rgbColor rgb="FFFF9900"/>
      <rgbColor rgb="FFC65911"/>
      <rgbColor rgb="FF595959"/>
      <rgbColor rgb="FF969696"/>
      <rgbColor rgb="FF1F4E79"/>
      <rgbColor rgb="FF339966"/>
      <rgbColor rgb="FF375623"/>
      <rgbColor rgb="FF404040"/>
      <rgbColor rgb="FF993300"/>
      <rgbColor rgb="FF993366"/>
      <rgbColor rgb="FF2F549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5"/>
  <sheetViews>
    <sheetView zoomScaleNormal="100" workbookViewId="0">
      <pane ySplit="4" topLeftCell="A8" activePane="bottomLeft" state="frozen"/>
      <selection pane="bottomLeft" activeCell="E22" sqref="E22"/>
    </sheetView>
  </sheetViews>
  <sheetFormatPr defaultColWidth="8.6640625" defaultRowHeight="14.4" outlineLevelCol="1" x14ac:dyDescent="0.3"/>
  <cols>
    <col min="1" max="1" width="10" customWidth="1"/>
    <col min="2" max="2" width="12" style="51" customWidth="1"/>
    <col min="3" max="3" width="15" customWidth="1"/>
    <col min="4" max="7" width="11" customWidth="1"/>
    <col min="8" max="8" width="16" customWidth="1"/>
    <col min="9" max="9" width="15" customWidth="1"/>
    <col min="10" max="10" width="16" customWidth="1"/>
    <col min="11" max="11" width="13.109375" customWidth="1"/>
    <col min="12" max="12" width="13.6640625" customWidth="1"/>
    <col min="13" max="13" width="12.88671875" customWidth="1"/>
    <col min="14" max="14" width="16.33203125" customWidth="1"/>
    <col min="15" max="16" width="22" customWidth="1"/>
    <col min="17" max="36" width="13" hidden="1" customWidth="1" outlineLevel="1"/>
    <col min="37" max="38" width="13" hidden="1" customWidth="1"/>
  </cols>
  <sheetData>
    <row r="1" spans="1:38" ht="30" customHeight="1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</row>
    <row r="2" spans="1:38" ht="15.75" customHeight="1" x14ac:dyDescent="0.3">
      <c r="A2" s="64" t="s">
        <v>1</v>
      </c>
      <c r="B2" s="64"/>
      <c r="C2" s="64"/>
      <c r="D2" s="64" t="s">
        <v>2</v>
      </c>
      <c r="E2" s="64"/>
      <c r="F2" s="64" t="s">
        <v>3</v>
      </c>
      <c r="G2" s="64"/>
      <c r="H2" s="1" t="s">
        <v>4</v>
      </c>
      <c r="I2" s="64" t="s">
        <v>5</v>
      </c>
      <c r="J2" s="64"/>
      <c r="K2" s="64" t="s">
        <v>6</v>
      </c>
      <c r="L2" s="64"/>
      <c r="M2" s="64"/>
      <c r="N2" s="64" t="s">
        <v>7</v>
      </c>
      <c r="O2" s="64"/>
      <c r="P2" s="1" t="s">
        <v>8</v>
      </c>
      <c r="Q2" s="64" t="s">
        <v>9</v>
      </c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</row>
    <row r="3" spans="1:38" ht="6" customHeight="1" x14ac:dyDescent="0.3"/>
    <row r="4" spans="1:38" ht="39.75" customHeight="1" x14ac:dyDescent="0.3">
      <c r="A4" s="2" t="s">
        <v>10</v>
      </c>
      <c r="B4" s="5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8</v>
      </c>
      <c r="Q4" s="2" t="s">
        <v>25</v>
      </c>
      <c r="R4" s="2" t="s">
        <v>26</v>
      </c>
      <c r="S4" s="2" t="s">
        <v>27</v>
      </c>
      <c r="T4" s="2" t="s">
        <v>28</v>
      </c>
      <c r="U4" s="2" t="s">
        <v>29</v>
      </c>
      <c r="V4" s="2" t="s">
        <v>30</v>
      </c>
      <c r="W4" s="2" t="s">
        <v>31</v>
      </c>
      <c r="X4" s="2" t="s">
        <v>32</v>
      </c>
      <c r="Y4" s="2" t="s">
        <v>33</v>
      </c>
      <c r="Z4" s="2" t="s">
        <v>34</v>
      </c>
      <c r="AA4" s="2" t="s">
        <v>35</v>
      </c>
      <c r="AB4" s="2" t="s">
        <v>36</v>
      </c>
      <c r="AC4" s="2" t="s">
        <v>37</v>
      </c>
      <c r="AD4" s="2" t="s">
        <v>38</v>
      </c>
      <c r="AE4" s="2" t="s">
        <v>39</v>
      </c>
      <c r="AF4" s="2" t="s">
        <v>40</v>
      </c>
      <c r="AG4" s="2" t="s">
        <v>41</v>
      </c>
      <c r="AH4" s="2" t="s">
        <v>42</v>
      </c>
      <c r="AI4" s="2" t="s">
        <v>43</v>
      </c>
      <c r="AJ4" s="2" t="s">
        <v>44</v>
      </c>
    </row>
    <row r="5" spans="1:38" ht="18" customHeight="1" x14ac:dyDescent="0.3">
      <c r="A5" s="3" t="s">
        <v>162</v>
      </c>
      <c r="B5" s="50"/>
      <c r="C5" s="4"/>
      <c r="D5" s="5" t="s">
        <v>45</v>
      </c>
      <c r="E5" s="5" t="s">
        <v>46</v>
      </c>
      <c r="F5" s="6" t="s">
        <v>45</v>
      </c>
      <c r="G5" s="6" t="s">
        <v>47</v>
      </c>
      <c r="H5" s="7">
        <v>1.85</v>
      </c>
      <c r="I5" s="8">
        <f t="shared" ref="I5:I36" si="0">IFERROR(IF(H5="","",H5+AG5),"")</f>
        <v>1.85</v>
      </c>
      <c r="J5" s="9">
        <f t="shared" ref="J5:J36" si="1">IFERROR(IF(OR(I5="",AJ5=""),"",AJ5-(AK5+AL5)),"")</f>
        <v>7.3899999999999988</v>
      </c>
      <c r="K5" s="10" t="str">
        <f t="shared" ref="K5:K36" si="2">IF(AND(AA5&gt;0,AE5&gt;0),TEXT(AA5,"0.000")&amp;" kg "&amp;Y5&amp;" (funnel)"&amp;"  +  "&amp;TEXT(AE5,"0.000")&amp;" kg "&amp;AC5&amp;" (funnel)",IF(AA5&gt;0,TEXT(AA5,"0.000")&amp;" kg "&amp;Y5&amp;" (funnel)",IF(AE5&gt;0,TEXT(AE5,"0.000")&amp;" kg "&amp;AC5&amp;" (funnel)","")))</f>
        <v/>
      </c>
      <c r="L5" s="11" t="str">
        <f t="shared" ref="L5:L36" si="3">IF(OR(AK5="",AK5=0,U5=""),"",TEXT(AK5,"0.000")&amp;" kg "&amp;U5)</f>
        <v>1.850 kg M1A-</v>
      </c>
      <c r="M5" s="12" t="str">
        <f t="shared" ref="M5:M36" si="4">IF(OR(AL5="",AL5=0,V5=""),"",TEXT(AL5,"0.000")&amp;" kg "&amp;V5)</f>
        <v/>
      </c>
      <c r="N5" s="13" t="str">
        <f t="shared" ref="N5:N36" si="5">IF(OR(I5="",U5=""),"",TEXT(MAX(0,(AH5-AK5-IF(Y5=U5,AA5,0)-IF(AC5=U5,AE5,0))),"0.000")&amp;" kg "&amp;U5)</f>
        <v>2.670 kg M1A-</v>
      </c>
      <c r="O5" s="14" t="str">
        <f t="shared" ref="O5:O36" si="6">IF(OR(I5="",V5=""),"",TEXT(MAX(0,(AI5-AL5-IF(Y5=V5,AA5,0)-IF(AC5=V5,AE5,0))),"0.000")&amp;" kg "&amp;V5)</f>
        <v>4.720 kg M1B-</v>
      </c>
      <c r="P5" s="15"/>
      <c r="Q5" s="16" t="str">
        <f>IF($A5="","",IF(D5="","",D5))</f>
        <v>M1</v>
      </c>
      <c r="R5" s="16" t="str">
        <f>IF($A5="","",IF(E5="","",E5))</f>
        <v>A</v>
      </c>
      <c r="S5" s="17" t="str">
        <f>IF($A5="","",IF(F5="","",F5))</f>
        <v>M1</v>
      </c>
      <c r="T5" s="17" t="str">
        <f>IF($A5="","",IF(G5="","",G5))</f>
        <v>B</v>
      </c>
      <c r="U5" s="16" t="str">
        <f t="shared" ref="U5:U36" si="7">IF(OR(Q5="",R5=""),"",Q5&amp;R5&amp;"-")</f>
        <v>M1A-</v>
      </c>
      <c r="V5" s="17" t="str">
        <f t="shared" ref="V5:V36" si="8">IF(OR(S5="",T5=""),"",S5&amp;T5&amp;"-")</f>
        <v>M1B-</v>
      </c>
      <c r="W5" s="18">
        <f>0</f>
        <v>0</v>
      </c>
      <c r="X5" s="18">
        <f>0</f>
        <v>0</v>
      </c>
      <c r="Y5" s="18" t="str">
        <f>""</f>
        <v/>
      </c>
      <c r="Z5" s="19">
        <f>0</f>
        <v>0</v>
      </c>
      <c r="AA5" s="19">
        <f t="shared" ref="AA5:AA36" si="9">IFERROR(IF(I5="",0,MAX(0,MIN(Z5,I5))),0)</f>
        <v>0</v>
      </c>
      <c r="AB5" s="19">
        <f t="shared" ref="AB5:AB36" si="10">IFERROR(Z5-AA5,0)</f>
        <v>0</v>
      </c>
      <c r="AC5" s="18" t="str">
        <f>""</f>
        <v/>
      </c>
      <c r="AD5" s="19">
        <f>0</f>
        <v>0</v>
      </c>
      <c r="AE5" s="19">
        <f t="shared" ref="AE5:AE36" si="11">IFERROR(IF(I5="",0,MAX(0,MIN(AD5,I5-AA5))),0)</f>
        <v>0</v>
      </c>
      <c r="AF5" s="19">
        <f t="shared" ref="AF5:AF36" si="12">IFERROR(AD5-AE5,0)</f>
        <v>0</v>
      </c>
      <c r="AG5" s="20">
        <f>IFERROR(IF(C5="Y",Settings!$B$4+Settings!$B$5,0),0)</f>
        <v>0</v>
      </c>
      <c r="AH5" s="21">
        <f>IFERROR(IF(U5="","",IFERROR(VLOOKUP(U5,'Bucket Status'!$A$4:$B$75,2,FALSE()),0)-0),"")</f>
        <v>4.5199999999999996</v>
      </c>
      <c r="AI5" s="22">
        <f>IFERROR(IF(V5="","",IFERROR(VLOOKUP(V5,'Bucket Status'!$A$4:$B$75,2,FALSE()),0)-0),"")</f>
        <v>4.72</v>
      </c>
      <c r="AJ5" s="23">
        <f t="shared" ref="AJ5:AJ36" si="13">IFERROR(IF(AH5="","",AH5+IF(AI5="",0,AI5)),"")</f>
        <v>9.2399999999999984</v>
      </c>
      <c r="AK5" s="21">
        <f t="shared" ref="AK5:AK36" si="14">IFERROR(IF(I5="","",IF(U5="",0,IF(V5="",(I5-AA5-AE5),MIN(AH5,(I5-AA5-AE5))))),"")</f>
        <v>1.85</v>
      </c>
      <c r="AL5" s="22">
        <f t="shared" ref="AL5:AL36" si="15">IFERROR(IF(I5="","",IF(V5="",0,MAX(0,(I5-AA5-AE5)-AK5))),"")</f>
        <v>0</v>
      </c>
    </row>
    <row r="6" spans="1:38" ht="18" customHeight="1" x14ac:dyDescent="0.3">
      <c r="A6" s="3" t="s">
        <v>167</v>
      </c>
      <c r="B6" s="50">
        <v>46280</v>
      </c>
      <c r="C6" s="4"/>
      <c r="D6" s="5"/>
      <c r="E6" s="5"/>
      <c r="F6" s="6"/>
      <c r="G6" s="6"/>
      <c r="H6" s="7">
        <v>3.81</v>
      </c>
      <c r="I6" s="8">
        <f t="shared" si="0"/>
        <v>3.81</v>
      </c>
      <c r="J6" s="9">
        <f t="shared" si="1"/>
        <v>3.5799999999999987</v>
      </c>
      <c r="K6" s="10" t="str">
        <f t="shared" si="2"/>
        <v/>
      </c>
      <c r="L6" s="11" t="str">
        <f t="shared" si="3"/>
        <v>2.670 kg M1A-</v>
      </c>
      <c r="M6" s="12" t="str">
        <f t="shared" si="4"/>
        <v>1.140 kg M1B-</v>
      </c>
      <c r="N6" s="13" t="str">
        <f t="shared" si="5"/>
        <v>0.000 kg M1A-</v>
      </c>
      <c r="O6" s="14" t="str">
        <f t="shared" si="6"/>
        <v>3.580 kg M1B-</v>
      </c>
      <c r="P6" s="15"/>
      <c r="Q6" s="16" t="str">
        <f t="shared" ref="Q6:Q37" si="16">IF($A6="","",IF(D6="",Q5,D6))</f>
        <v>M1</v>
      </c>
      <c r="R6" s="16" t="str">
        <f t="shared" ref="R6:R37" si="17">IF($A6="","",IF(E6="",R5,E6))</f>
        <v>A</v>
      </c>
      <c r="S6" s="17" t="str">
        <f t="shared" ref="S6:S37" si="18">IF($A6="","",IF(F6="",S5,F6))</f>
        <v>M1</v>
      </c>
      <c r="T6" s="17" t="str">
        <f t="shared" ref="T6:T37" si="19">IF($A6="","",IF(G6="",T5,G6))</f>
        <v>B</v>
      </c>
      <c r="U6" s="16" t="str">
        <f t="shared" si="7"/>
        <v>M1A-</v>
      </c>
      <c r="V6" s="17" t="str">
        <f t="shared" si="8"/>
        <v>M1B-</v>
      </c>
      <c r="W6" s="18">
        <f t="shared" ref="W6:W37" si="20">IF(AND(U6&lt;&gt;"",U5&lt;&gt;"",U6&lt;&gt;U5),1,0)</f>
        <v>0</v>
      </c>
      <c r="X6" s="18">
        <f t="shared" ref="X6:X37" si="21">IF(AND(V6&lt;&gt;"",V5&lt;&gt;"",V6&lt;&gt;V5),1,0)</f>
        <v>0</v>
      </c>
      <c r="Y6" s="18" t="str">
        <f t="shared" ref="Y6:Y37" si="22">IF(W6=1,U5,IF(AB5&gt;0,Y5,""))</f>
        <v/>
      </c>
      <c r="Z6" s="19">
        <f>IF(W6=1,MAX(0,MIN(Settings!$B$6,(IFERROR(VLOOKUP(U5,'Bucket Status'!$A$4:$B$75,2,FALSE()),0)-(SUMIF($U$5:$U5,U5,$AK$5:$AK5)+SUMIF($V$5:$V5,U5,$AL$5:$AL5)+SUMIF($Y$5:$Y5,U5,$AA$5:$AA5)+SUMIF($AC$5:$AC5,U5,$AE$5:$AE5))))),IF(AB5&gt;0,AB5,0))</f>
        <v>0</v>
      </c>
      <c r="AA6" s="19">
        <f t="shared" si="9"/>
        <v>0</v>
      </c>
      <c r="AB6" s="19">
        <f t="shared" si="10"/>
        <v>0</v>
      </c>
      <c r="AC6" s="18" t="str">
        <f t="shared" ref="AC6:AC37" si="23">IF(X6=1,V5,IF(AF5&gt;0,AC5,""))</f>
        <v/>
      </c>
      <c r="AD6" s="19">
        <f>IF(X6=1,MAX(0,MIN(Settings!$B$6-Z6,(IFERROR(VLOOKUP(V5,'Bucket Status'!$A$4:$B$75,2,FALSE()),0)-(SUMIF($U$5:$U5,V5,$AK$5:$AK5)+SUMIF($V$5:$V5,V5,$AL$5:$AL5)+SUMIF($Y$5:$Y5,V5,$AA$5:$AA5)+SUMIF($AC$5:$AC5,V5,$AE$5:$AE5))))),IF(AF5&gt;0,AF5,0))</f>
        <v>0</v>
      </c>
      <c r="AE6" s="19">
        <f t="shared" si="11"/>
        <v>0</v>
      </c>
      <c r="AF6" s="19">
        <f t="shared" si="12"/>
        <v>0</v>
      </c>
      <c r="AG6" s="20">
        <f>IFERROR(IF(C6="Y",Settings!$B$4+Settings!$B$5,0),0)</f>
        <v>0</v>
      </c>
      <c r="AH6" s="21">
        <f>IFERROR(IF(U6="","",IFERROR(VLOOKUP(U6,'Bucket Status'!$A$4:$B$75,2,FALSE()),0)-(SUMIF($U$5:$U5,U6,$AK$5:$AK5)+SUMIF($V$5:$V5,U6,$AL$5:$AL5)+SUMIF($Y$5:$Y5,U6,$AA$5:$AA5)+SUMIF($AC$5:$AC5,U6,$AE$5:$AE5))),"")</f>
        <v>2.6699999999999995</v>
      </c>
      <c r="AI6" s="22">
        <f>IFERROR(IF(V6="","",IFERROR(VLOOKUP(V6,'Bucket Status'!$A$4:$B$75,2,FALSE()),0)-(SUMIF($U$5:$U5,V6,$AK$5:$AK5)+SUMIF($V$5:$V5,V6,$AL$5:$AL5)+SUMIF($Y$5:$Y5,V6,$AA$5:$AA5)+SUMIF($AC$5:$AC5,V6,$AE$5:$AE5))),"")</f>
        <v>4.72</v>
      </c>
      <c r="AJ6" s="23">
        <f t="shared" si="13"/>
        <v>7.3899999999999988</v>
      </c>
      <c r="AK6" s="21">
        <f t="shared" si="14"/>
        <v>2.6699999999999995</v>
      </c>
      <c r="AL6" s="22">
        <f t="shared" si="15"/>
        <v>1.1400000000000006</v>
      </c>
    </row>
    <row r="7" spans="1:38" ht="18" customHeight="1" x14ac:dyDescent="0.3">
      <c r="A7" s="3" t="s">
        <v>170</v>
      </c>
      <c r="B7" s="50">
        <v>46281</v>
      </c>
      <c r="C7" s="4"/>
      <c r="D7" s="5" t="s">
        <v>45</v>
      </c>
      <c r="E7" s="5" t="s">
        <v>171</v>
      </c>
      <c r="F7" s="6" t="s">
        <v>45</v>
      </c>
      <c r="G7" s="6" t="s">
        <v>172</v>
      </c>
      <c r="H7" s="7">
        <v>5.31</v>
      </c>
      <c r="I7" s="8">
        <f t="shared" si="0"/>
        <v>5.31</v>
      </c>
      <c r="J7" s="9">
        <f t="shared" si="1"/>
        <v>7.76</v>
      </c>
      <c r="K7" s="10" t="str">
        <f t="shared" si="2"/>
        <v>3.580 kg M1B- (funnel)</v>
      </c>
      <c r="L7" s="11" t="str">
        <f t="shared" si="3"/>
        <v>1.730 kg M1C-</v>
      </c>
      <c r="M7" s="12" t="str">
        <f t="shared" si="4"/>
        <v/>
      </c>
      <c r="N7" s="13" t="str">
        <f t="shared" si="5"/>
        <v>2.900 kg M1C-</v>
      </c>
      <c r="O7" s="14" t="str">
        <f t="shared" si="6"/>
        <v>4.860 kg M1D-</v>
      </c>
      <c r="P7" s="15"/>
      <c r="Q7" s="16" t="str">
        <f t="shared" si="16"/>
        <v>M1</v>
      </c>
      <c r="R7" s="16" t="str">
        <f t="shared" si="17"/>
        <v>C</v>
      </c>
      <c r="S7" s="17" t="str">
        <f t="shared" si="18"/>
        <v>M1</v>
      </c>
      <c r="T7" s="17" t="str">
        <f t="shared" si="19"/>
        <v>D</v>
      </c>
      <c r="U7" s="16" t="str">
        <f t="shared" si="7"/>
        <v>M1C-</v>
      </c>
      <c r="V7" s="17" t="str">
        <f t="shared" si="8"/>
        <v>M1D-</v>
      </c>
      <c r="W7" s="18">
        <f t="shared" si="20"/>
        <v>1</v>
      </c>
      <c r="X7" s="18">
        <f t="shared" si="21"/>
        <v>1</v>
      </c>
      <c r="Y7" s="18" t="str">
        <f t="shared" si="22"/>
        <v>M1A-</v>
      </c>
      <c r="Z7" s="19">
        <f>IF(W7=1,MAX(0,MIN(Settings!$B$6,(IFERROR(VLOOKUP(U6,'Bucket Status'!$A$4:$B$75,2,FALSE()),0)-(SUMIF($U$5:$U6,U6,$AK$5:$AK6)+SUMIF($V$5:$V6,U6,$AL$5:$AL6)+SUMIF($Y$5:$Y6,U6,$AA$5:$AA6)+SUMIF($AC$5:$AC6,U6,$AE$5:$AE6))))),IF(AB6&gt;0,AB6,0))</f>
        <v>0</v>
      </c>
      <c r="AA7" s="19">
        <f t="shared" si="9"/>
        <v>0</v>
      </c>
      <c r="AB7" s="19">
        <f t="shared" si="10"/>
        <v>0</v>
      </c>
      <c r="AC7" s="18" t="str">
        <f t="shared" si="23"/>
        <v>M1B-</v>
      </c>
      <c r="AD7" s="19">
        <f>IF(X7=1,MAX(0,MIN(Settings!$B$6-Z7,(IFERROR(VLOOKUP(V6,'Bucket Status'!$A$4:$B$75,2,FALSE()),0)-(SUMIF($U$5:$U6,V6,$AK$5:$AK6)+SUMIF($V$5:$V6,V6,$AL$5:$AL6)+SUMIF($Y$5:$Y6,V6,$AA$5:$AA6)+SUMIF($AC$5:$AC6,V6,$AE$5:$AE6))))),IF(AF6&gt;0,AF6,0))</f>
        <v>3.5799999999999992</v>
      </c>
      <c r="AE7" s="19">
        <f t="shared" si="11"/>
        <v>3.5799999999999992</v>
      </c>
      <c r="AF7" s="19">
        <f t="shared" si="12"/>
        <v>0</v>
      </c>
      <c r="AG7" s="20">
        <f>IFERROR(IF(C7="Y",Settings!$B$4+Settings!$B$5,0),0)</f>
        <v>0</v>
      </c>
      <c r="AH7" s="21">
        <f>IFERROR(IF(U7="","",IFERROR(VLOOKUP(U7,'Bucket Status'!$A$4:$B$75,2,FALSE()),0)-(SUMIF($U$5:$U6,U7,$AK$5:$AK6)+SUMIF($V$5:$V6,U7,$AL$5:$AL6)+SUMIF($Y$5:$Y6,U7,$AA$5:$AA6)+SUMIF($AC$5:$AC6,U7,$AE$5:$AE6))),"")</f>
        <v>4.63</v>
      </c>
      <c r="AI7" s="22">
        <f>IFERROR(IF(V7="","",IFERROR(VLOOKUP(V7,'Bucket Status'!$A$4:$B$75,2,FALSE()),0)-(SUMIF($U$5:$U6,V7,$AK$5:$AK6)+SUMIF($V$5:$V6,V7,$AL$5:$AL6)+SUMIF($Y$5:$Y6,V7,$AA$5:$AA6)+SUMIF($AC$5:$AC6,V7,$AE$5:$AE6))),"")</f>
        <v>4.8600000000000003</v>
      </c>
      <c r="AJ7" s="23">
        <f t="shared" si="13"/>
        <v>9.49</v>
      </c>
      <c r="AK7" s="21">
        <f t="shared" si="14"/>
        <v>1.7300000000000004</v>
      </c>
      <c r="AL7" s="22">
        <f t="shared" si="15"/>
        <v>0</v>
      </c>
    </row>
    <row r="8" spans="1:38" ht="18" customHeight="1" x14ac:dyDescent="0.3">
      <c r="A8" s="3" t="s">
        <v>175</v>
      </c>
      <c r="B8" s="50">
        <v>46282</v>
      </c>
      <c r="C8" s="4"/>
      <c r="D8" s="5"/>
      <c r="E8" s="5"/>
      <c r="F8" s="6"/>
      <c r="G8" s="6"/>
      <c r="H8" s="7">
        <v>3.71</v>
      </c>
      <c r="I8" s="8">
        <f t="shared" si="0"/>
        <v>3.71</v>
      </c>
      <c r="J8" s="9">
        <f t="shared" si="1"/>
        <v>4.05</v>
      </c>
      <c r="K8" s="10" t="str">
        <f t="shared" si="2"/>
        <v/>
      </c>
      <c r="L8" s="11" t="str">
        <f t="shared" si="3"/>
        <v>2.900 kg M1C-</v>
      </c>
      <c r="M8" s="12" t="str">
        <f t="shared" si="4"/>
        <v>0.810 kg M1D-</v>
      </c>
      <c r="N8" s="13" t="str">
        <f t="shared" si="5"/>
        <v>0.000 kg M1C-</v>
      </c>
      <c r="O8" s="14" t="str">
        <f t="shared" si="6"/>
        <v>4.050 kg M1D-</v>
      </c>
      <c r="P8" s="15"/>
      <c r="Q8" s="16" t="str">
        <f t="shared" si="16"/>
        <v>M1</v>
      </c>
      <c r="R8" s="16" t="str">
        <f t="shared" si="17"/>
        <v>C</v>
      </c>
      <c r="S8" s="17" t="str">
        <f t="shared" si="18"/>
        <v>M1</v>
      </c>
      <c r="T8" s="17" t="str">
        <f t="shared" si="19"/>
        <v>D</v>
      </c>
      <c r="U8" s="16" t="str">
        <f t="shared" si="7"/>
        <v>M1C-</v>
      </c>
      <c r="V8" s="17" t="str">
        <f t="shared" si="8"/>
        <v>M1D-</v>
      </c>
      <c r="W8" s="18">
        <f t="shared" si="20"/>
        <v>0</v>
      </c>
      <c r="X8" s="18">
        <f t="shared" si="21"/>
        <v>0</v>
      </c>
      <c r="Y8" s="18" t="str">
        <f t="shared" si="22"/>
        <v/>
      </c>
      <c r="Z8" s="19">
        <f>IF(W8=1,MAX(0,MIN(Settings!$B$6,(IFERROR(VLOOKUP(U7,'Bucket Status'!$A$4:$B$75,2,FALSE()),0)-(SUMIF($U$5:$U7,U7,$AK$5:$AK7)+SUMIF($V$5:$V7,U7,$AL$5:$AL7)+SUMIF($Y$5:$Y7,U7,$AA$5:$AA7)+SUMIF($AC$5:$AC7,U7,$AE$5:$AE7))))),IF(AB7&gt;0,AB7,0))</f>
        <v>0</v>
      </c>
      <c r="AA8" s="19">
        <f t="shared" si="9"/>
        <v>0</v>
      </c>
      <c r="AB8" s="19">
        <f t="shared" si="10"/>
        <v>0</v>
      </c>
      <c r="AC8" s="18" t="str">
        <f t="shared" si="23"/>
        <v/>
      </c>
      <c r="AD8" s="19">
        <f>IF(X8=1,MAX(0,MIN(Settings!$B$6-Z8,(IFERROR(VLOOKUP(V7,'Bucket Status'!$A$4:$B$75,2,FALSE()),0)-(SUMIF($U$5:$U7,V7,$AK$5:$AK7)+SUMIF($V$5:$V7,V7,$AL$5:$AL7)+SUMIF($Y$5:$Y7,V7,$AA$5:$AA7)+SUMIF($AC$5:$AC7,V7,$AE$5:$AE7))))),IF(AF7&gt;0,AF7,0))</f>
        <v>0</v>
      </c>
      <c r="AE8" s="19">
        <f t="shared" si="11"/>
        <v>0</v>
      </c>
      <c r="AF8" s="19">
        <f t="shared" si="12"/>
        <v>0</v>
      </c>
      <c r="AG8" s="20">
        <f>IFERROR(IF(C8="Y",Settings!$B$4+Settings!$B$5,0),0)</f>
        <v>0</v>
      </c>
      <c r="AH8" s="21">
        <f>IFERROR(IF(U8="","",IFERROR(VLOOKUP(U8,'Bucket Status'!$A$4:$B$75,2,FALSE()),0)-(SUMIF($U$5:$U7,U8,$AK$5:$AK7)+SUMIF($V$5:$V7,U8,$AL$5:$AL7)+SUMIF($Y$5:$Y7,U8,$AA$5:$AA7)+SUMIF($AC$5:$AC7,U8,$AE$5:$AE7))),"")</f>
        <v>2.8999999999999995</v>
      </c>
      <c r="AI8" s="22">
        <f>IFERROR(IF(V8="","",IFERROR(VLOOKUP(V8,'Bucket Status'!$A$4:$B$75,2,FALSE()),0)-(SUMIF($U$5:$U7,V8,$AK$5:$AK7)+SUMIF($V$5:$V7,V8,$AL$5:$AL7)+SUMIF($Y$5:$Y7,V8,$AA$5:$AA7)+SUMIF($AC$5:$AC7,V8,$AE$5:$AE7))),"")</f>
        <v>4.8600000000000003</v>
      </c>
      <c r="AJ8" s="23">
        <f t="shared" si="13"/>
        <v>7.76</v>
      </c>
      <c r="AK8" s="21">
        <f t="shared" si="14"/>
        <v>2.8999999999999995</v>
      </c>
      <c r="AL8" s="22">
        <f t="shared" si="15"/>
        <v>0.8100000000000005</v>
      </c>
    </row>
    <row r="9" spans="1:38" ht="18" customHeight="1" x14ac:dyDescent="0.3">
      <c r="A9" s="3" t="s">
        <v>175</v>
      </c>
      <c r="B9" s="50">
        <v>46283</v>
      </c>
      <c r="C9" s="4"/>
      <c r="D9" s="5"/>
      <c r="E9" s="5"/>
      <c r="F9" s="6"/>
      <c r="G9" s="6"/>
      <c r="H9" s="7">
        <v>1.92</v>
      </c>
      <c r="I9" s="8">
        <f t="shared" si="0"/>
        <v>1.92</v>
      </c>
      <c r="J9" s="9">
        <f t="shared" si="1"/>
        <v>2.13</v>
      </c>
      <c r="K9" s="10" t="str">
        <f t="shared" si="2"/>
        <v/>
      </c>
      <c r="L9" s="11" t="str">
        <f t="shared" si="3"/>
        <v/>
      </c>
      <c r="M9" s="12" t="str">
        <f t="shared" si="4"/>
        <v>1.920 kg M1D-</v>
      </c>
      <c r="N9" s="13" t="str">
        <f t="shared" si="5"/>
        <v>0.000 kg M1C-</v>
      </c>
      <c r="O9" s="14" t="str">
        <f t="shared" si="6"/>
        <v>2.130 kg M1D-</v>
      </c>
      <c r="P9" s="15"/>
      <c r="Q9" s="16" t="str">
        <f t="shared" si="16"/>
        <v>M1</v>
      </c>
      <c r="R9" s="16" t="str">
        <f t="shared" si="17"/>
        <v>C</v>
      </c>
      <c r="S9" s="17" t="str">
        <f t="shared" si="18"/>
        <v>M1</v>
      </c>
      <c r="T9" s="17" t="str">
        <f t="shared" si="19"/>
        <v>D</v>
      </c>
      <c r="U9" s="16" t="str">
        <f t="shared" si="7"/>
        <v>M1C-</v>
      </c>
      <c r="V9" s="17" t="str">
        <f t="shared" si="8"/>
        <v>M1D-</v>
      </c>
      <c r="W9" s="18">
        <f t="shared" si="20"/>
        <v>0</v>
      </c>
      <c r="X9" s="18">
        <f t="shared" si="21"/>
        <v>0</v>
      </c>
      <c r="Y9" s="18" t="str">
        <f t="shared" si="22"/>
        <v/>
      </c>
      <c r="Z9" s="19">
        <f>IF(W9=1,MAX(0,MIN(Settings!$B$6,(IFERROR(VLOOKUP(U8,'Bucket Status'!$A$4:$B$75,2,FALSE()),0)-(SUMIF($U$5:$U8,U8,$AK$5:$AK8)+SUMIF($V$5:$V8,U8,$AL$5:$AL8)+SUMIF($Y$5:$Y8,U8,$AA$5:$AA8)+SUMIF($AC$5:$AC8,U8,$AE$5:$AE8))))),IF(AB8&gt;0,AB8,0))</f>
        <v>0</v>
      </c>
      <c r="AA9" s="19">
        <f t="shared" si="9"/>
        <v>0</v>
      </c>
      <c r="AB9" s="19">
        <f t="shared" si="10"/>
        <v>0</v>
      </c>
      <c r="AC9" s="18" t="str">
        <f t="shared" si="23"/>
        <v/>
      </c>
      <c r="AD9" s="19">
        <f>IF(X9=1,MAX(0,MIN(Settings!$B$6-Z9,(IFERROR(VLOOKUP(V8,'Bucket Status'!$A$4:$B$75,2,FALSE()),0)-(SUMIF($U$5:$U8,V8,$AK$5:$AK8)+SUMIF($V$5:$V8,V8,$AL$5:$AL8)+SUMIF($Y$5:$Y8,V8,$AA$5:$AA8)+SUMIF($AC$5:$AC8,V8,$AE$5:$AE8))))),IF(AF8&gt;0,AF8,0))</f>
        <v>0</v>
      </c>
      <c r="AE9" s="19">
        <f t="shared" si="11"/>
        <v>0</v>
      </c>
      <c r="AF9" s="19">
        <f t="shared" si="12"/>
        <v>0</v>
      </c>
      <c r="AG9" s="20">
        <f>IFERROR(IF(C9="Y",Settings!$B$4+Settings!$B$5,0),0)</f>
        <v>0</v>
      </c>
      <c r="AH9" s="21">
        <f>IFERROR(IF(U9="","",IFERROR(VLOOKUP(U9,'Bucket Status'!$A$4:$B$75,2,FALSE()),0)-(SUMIF($U$5:$U8,U9,$AK$5:$AK8)+SUMIF($V$5:$V8,U9,$AL$5:$AL8)+SUMIF($Y$5:$Y8,U9,$AA$5:$AA8)+SUMIF($AC$5:$AC8,U9,$AE$5:$AE8))),"")</f>
        <v>0</v>
      </c>
      <c r="AI9" s="22">
        <f>IFERROR(IF(V9="","",IFERROR(VLOOKUP(V9,'Bucket Status'!$A$4:$B$75,2,FALSE()),0)-(SUMIF($U$5:$U8,V9,$AK$5:$AK8)+SUMIF($V$5:$V8,V9,$AL$5:$AL8)+SUMIF($Y$5:$Y8,V9,$AA$5:$AA8)+SUMIF($AC$5:$AC8,V9,$AE$5:$AE8))),"")</f>
        <v>4.05</v>
      </c>
      <c r="AJ9" s="23">
        <f t="shared" si="13"/>
        <v>4.05</v>
      </c>
      <c r="AK9" s="21">
        <f t="shared" si="14"/>
        <v>0</v>
      </c>
      <c r="AL9" s="22">
        <f t="shared" si="15"/>
        <v>1.92</v>
      </c>
    </row>
    <row r="10" spans="1:38" ht="18" customHeight="1" x14ac:dyDescent="0.3">
      <c r="A10" s="55" t="s">
        <v>179</v>
      </c>
      <c r="B10" s="56">
        <v>46289</v>
      </c>
      <c r="C10" s="57"/>
      <c r="D10" s="58"/>
      <c r="E10" s="58"/>
      <c r="F10" s="59"/>
      <c r="G10" s="59"/>
      <c r="H10" s="60">
        <v>1.5</v>
      </c>
      <c r="I10" s="8">
        <f t="shared" si="0"/>
        <v>1.5</v>
      </c>
      <c r="J10" s="9">
        <f t="shared" si="1"/>
        <v>0.62999999999999989</v>
      </c>
      <c r="K10" s="10" t="str">
        <f t="shared" si="2"/>
        <v/>
      </c>
      <c r="L10" s="11" t="str">
        <f t="shared" si="3"/>
        <v/>
      </c>
      <c r="M10" s="12" t="str">
        <f t="shared" si="4"/>
        <v>1.500 kg M1D-</v>
      </c>
      <c r="N10" s="13" t="str">
        <f t="shared" si="5"/>
        <v>0.000 kg M1C-</v>
      </c>
      <c r="O10" s="14" t="str">
        <f t="shared" si="6"/>
        <v>0.630 kg M1D-</v>
      </c>
      <c r="P10" s="15" t="s">
        <v>180</v>
      </c>
      <c r="Q10" s="16" t="str">
        <f t="shared" si="16"/>
        <v>M1</v>
      </c>
      <c r="R10" s="16" t="str">
        <f t="shared" si="17"/>
        <v>C</v>
      </c>
      <c r="S10" s="17" t="str">
        <f t="shared" si="18"/>
        <v>M1</v>
      </c>
      <c r="T10" s="17" t="str">
        <f t="shared" si="19"/>
        <v>D</v>
      </c>
      <c r="U10" s="16" t="str">
        <f t="shared" si="7"/>
        <v>M1C-</v>
      </c>
      <c r="V10" s="17" t="str">
        <f t="shared" si="8"/>
        <v>M1D-</v>
      </c>
      <c r="W10" s="18">
        <f t="shared" si="20"/>
        <v>0</v>
      </c>
      <c r="X10" s="18">
        <f t="shared" si="21"/>
        <v>0</v>
      </c>
      <c r="Y10" s="18" t="str">
        <f t="shared" si="22"/>
        <v/>
      </c>
      <c r="Z10" s="19">
        <f>IF(W10=1,MAX(0,MIN(Settings!$B$6,(IFERROR(VLOOKUP(U9,'Bucket Status'!$A$4:$B$75,2,FALSE()),0)-(SUMIF($U$5:$U9,U9,$AK$5:$AK9)+SUMIF($V$5:$V9,U9,$AL$5:$AL9)+SUMIF($Y$5:$Y9,U9,$AA$5:$AA9)+SUMIF($AC$5:$AC9,U9,$AE$5:$AE9))))),IF(AB9&gt;0,AB9,0))</f>
        <v>0</v>
      </c>
      <c r="AA10" s="19">
        <f t="shared" si="9"/>
        <v>0</v>
      </c>
      <c r="AB10" s="19">
        <f t="shared" si="10"/>
        <v>0</v>
      </c>
      <c r="AC10" s="18" t="str">
        <f t="shared" si="23"/>
        <v/>
      </c>
      <c r="AD10" s="19">
        <f>IF(X10=1,MAX(0,MIN(Settings!$B$6-Z10,(IFERROR(VLOOKUP(V9,'Bucket Status'!$A$4:$B$75,2,FALSE()),0)-(SUMIF($U$5:$U9,V9,$AK$5:$AK9)+SUMIF($V$5:$V9,V9,$AL$5:$AL9)+SUMIF($Y$5:$Y9,V9,$AA$5:$AA9)+SUMIF($AC$5:$AC9,V9,$AE$5:$AE9))))),IF(AF9&gt;0,AF9,0))</f>
        <v>0</v>
      </c>
      <c r="AE10" s="19">
        <f t="shared" si="11"/>
        <v>0</v>
      </c>
      <c r="AF10" s="19">
        <f t="shared" si="12"/>
        <v>0</v>
      </c>
      <c r="AG10" s="20">
        <f>IFERROR(IF(C10="Y",Settings!$B$4+Settings!$B$5,0),0)</f>
        <v>0</v>
      </c>
      <c r="AH10" s="21">
        <f>IFERROR(IF(U10="","",IFERROR(VLOOKUP(U10,'Bucket Status'!$A$4:$B$75,2,FALSE()),0)-(SUMIF($U$5:$U9,U10,$AK$5:$AK9)+SUMIF($V$5:$V9,U10,$AL$5:$AL9)+SUMIF($Y$5:$Y9,U10,$AA$5:$AA9)+SUMIF($AC$5:$AC9,U10,$AE$5:$AE9))),"")</f>
        <v>0</v>
      </c>
      <c r="AI10" s="22">
        <f>IFERROR(IF(V10="","",IFERROR(VLOOKUP(V10,'Bucket Status'!$A$4:$B$75,2,FALSE()),0)-(SUMIF($U$5:$U9,V10,$AK$5:$AK9)+SUMIF($V$5:$V9,V10,$AL$5:$AL9)+SUMIF($Y$5:$Y9,V10,$AA$5:$AA9)+SUMIF($AC$5:$AC9,V10,$AE$5:$AE9))),"")</f>
        <v>2.13</v>
      </c>
      <c r="AJ10" s="23">
        <f t="shared" si="13"/>
        <v>2.13</v>
      </c>
      <c r="AK10" s="21">
        <f t="shared" si="14"/>
        <v>0</v>
      </c>
      <c r="AL10" s="22">
        <f t="shared" si="15"/>
        <v>1.5</v>
      </c>
    </row>
    <row r="11" spans="1:38" ht="18" customHeight="1" x14ac:dyDescent="0.3">
      <c r="A11" s="3" t="s">
        <v>179</v>
      </c>
      <c r="B11" s="50">
        <v>46290</v>
      </c>
      <c r="C11" s="4"/>
      <c r="D11" s="5" t="s">
        <v>177</v>
      </c>
      <c r="E11" s="5" t="s">
        <v>46</v>
      </c>
      <c r="F11" s="6" t="s">
        <v>177</v>
      </c>
      <c r="G11" s="6" t="s">
        <v>47</v>
      </c>
      <c r="H11" s="7">
        <v>2.5</v>
      </c>
      <c r="I11" s="8">
        <f t="shared" si="0"/>
        <v>2.5</v>
      </c>
      <c r="J11" s="9">
        <f t="shared" si="1"/>
        <v>8.129999999999999</v>
      </c>
      <c r="K11" s="10" t="str">
        <f t="shared" si="2"/>
        <v>0.630 kg M1D- (funnel)</v>
      </c>
      <c r="L11" s="11" t="str">
        <f t="shared" si="3"/>
        <v>1.870 kg M2A-</v>
      </c>
      <c r="M11" s="12" t="str">
        <f t="shared" si="4"/>
        <v/>
      </c>
      <c r="N11" s="13" t="str">
        <f t="shared" si="5"/>
        <v>3.180 kg M2A-</v>
      </c>
      <c r="O11" s="14" t="str">
        <f t="shared" si="6"/>
        <v>4.950 kg M2B-</v>
      </c>
      <c r="P11" s="15"/>
      <c r="Q11" s="16" t="str">
        <f t="shared" si="16"/>
        <v>M2</v>
      </c>
      <c r="R11" s="16" t="str">
        <f t="shared" si="17"/>
        <v>A</v>
      </c>
      <c r="S11" s="17" t="str">
        <f t="shared" si="18"/>
        <v>M2</v>
      </c>
      <c r="T11" s="17" t="str">
        <f t="shared" si="19"/>
        <v>B</v>
      </c>
      <c r="U11" s="16" t="str">
        <f t="shared" si="7"/>
        <v>M2A-</v>
      </c>
      <c r="V11" s="17" t="str">
        <f t="shared" si="8"/>
        <v>M2B-</v>
      </c>
      <c r="W11" s="18">
        <f t="shared" si="20"/>
        <v>1</v>
      </c>
      <c r="X11" s="18">
        <f t="shared" si="21"/>
        <v>1</v>
      </c>
      <c r="Y11" s="18" t="str">
        <f t="shared" si="22"/>
        <v>M1C-</v>
      </c>
      <c r="Z11" s="19">
        <f>IF(W11=1,MAX(0,MIN(Settings!$B$6,(IFERROR(VLOOKUP(U10,'Bucket Status'!$A$4:$B$75,2,FALSE()),0)-(SUMIF($U$5:$U10,U10,$AK$5:$AK10)+SUMIF($V$5:$V10,U10,$AL$5:$AL10)+SUMIF($Y$5:$Y10,U10,$AA$5:$AA10)+SUMIF($AC$5:$AC10,U10,$AE$5:$AE10))))),IF(AB10&gt;0,AB10,0))</f>
        <v>0</v>
      </c>
      <c r="AA11" s="19">
        <f t="shared" si="9"/>
        <v>0</v>
      </c>
      <c r="AB11" s="19">
        <f t="shared" si="10"/>
        <v>0</v>
      </c>
      <c r="AC11" s="18" t="str">
        <f t="shared" si="23"/>
        <v>M1D-</v>
      </c>
      <c r="AD11" s="19">
        <f>IF(X11=1,MAX(0,MIN(Settings!$B$6-Z11,(IFERROR(VLOOKUP(V10,'Bucket Status'!$A$4:$B$75,2,FALSE()),0)-(SUMIF($U$5:$U10,V10,$AK$5:$AK10)+SUMIF($V$5:$V10,V10,$AL$5:$AL10)+SUMIF($Y$5:$Y10,V10,$AA$5:$AA10)+SUMIF($AC$5:$AC10,V10,$AE$5:$AE10))))),IF(AF10&gt;0,AF10,0))</f>
        <v>0.62999999999999989</v>
      </c>
      <c r="AE11" s="19">
        <f t="shared" si="11"/>
        <v>0.62999999999999989</v>
      </c>
      <c r="AF11" s="19">
        <f t="shared" si="12"/>
        <v>0</v>
      </c>
      <c r="AG11" s="20">
        <f>IFERROR(IF(C11="Y",Settings!$B$4+Settings!$B$5,0),0)</f>
        <v>0</v>
      </c>
      <c r="AH11" s="21">
        <f>IFERROR(IF(U11="","",IFERROR(VLOOKUP(U11,'Bucket Status'!$A$4:$B$75,2,FALSE()),0)-(SUMIF($U$5:$U10,U11,$AK$5:$AK10)+SUMIF($V$5:$V10,U11,$AL$5:$AL10)+SUMIF($Y$5:$Y10,U11,$AA$5:$AA10)+SUMIF($AC$5:$AC10,U11,$AE$5:$AE10))),"")</f>
        <v>5.05</v>
      </c>
      <c r="AI11" s="22">
        <f>IFERROR(IF(V11="","",IFERROR(VLOOKUP(V11,'Bucket Status'!$A$4:$B$75,2,FALSE()),0)-(SUMIF($U$5:$U10,V11,$AK$5:$AK10)+SUMIF($V$5:$V10,V11,$AL$5:$AL10)+SUMIF($Y$5:$Y10,V11,$AA$5:$AA10)+SUMIF($AC$5:$AC10,V11,$AE$5:$AE10))),"")</f>
        <v>4.95</v>
      </c>
      <c r="AJ11" s="23">
        <f t="shared" si="13"/>
        <v>10</v>
      </c>
      <c r="AK11" s="21">
        <f t="shared" si="14"/>
        <v>1.87</v>
      </c>
      <c r="AL11" s="22">
        <f t="shared" si="15"/>
        <v>0</v>
      </c>
    </row>
    <row r="12" spans="1:38" ht="18" customHeight="1" x14ac:dyDescent="0.3">
      <c r="A12" s="3" t="s">
        <v>183</v>
      </c>
      <c r="B12" s="50">
        <v>46293</v>
      </c>
      <c r="C12" s="4"/>
      <c r="D12" s="5"/>
      <c r="E12" s="5"/>
      <c r="F12" s="6"/>
      <c r="G12" s="6"/>
      <c r="H12" s="7">
        <v>3.97</v>
      </c>
      <c r="I12" s="8">
        <f t="shared" si="0"/>
        <v>3.97</v>
      </c>
      <c r="J12" s="9">
        <f t="shared" si="1"/>
        <v>4.1599999999999984</v>
      </c>
      <c r="K12" s="10" t="str">
        <f t="shared" si="2"/>
        <v/>
      </c>
      <c r="L12" s="11" t="str">
        <f t="shared" si="3"/>
        <v>3.180 kg M2A-</v>
      </c>
      <c r="M12" s="12" t="str">
        <f t="shared" si="4"/>
        <v>0.790 kg M2B-</v>
      </c>
      <c r="N12" s="13" t="str">
        <f t="shared" si="5"/>
        <v>0.000 kg M2A-</v>
      </c>
      <c r="O12" s="14" t="str">
        <f t="shared" si="6"/>
        <v>4.160 kg M2B-</v>
      </c>
      <c r="P12" s="15"/>
      <c r="Q12" s="16" t="str">
        <f t="shared" si="16"/>
        <v>M2</v>
      </c>
      <c r="R12" s="16" t="str">
        <f t="shared" si="17"/>
        <v>A</v>
      </c>
      <c r="S12" s="17" t="str">
        <f t="shared" si="18"/>
        <v>M2</v>
      </c>
      <c r="T12" s="17" t="str">
        <f t="shared" si="19"/>
        <v>B</v>
      </c>
      <c r="U12" s="16" t="str">
        <f t="shared" si="7"/>
        <v>M2A-</v>
      </c>
      <c r="V12" s="17" t="str">
        <f t="shared" si="8"/>
        <v>M2B-</v>
      </c>
      <c r="W12" s="18">
        <f t="shared" si="20"/>
        <v>0</v>
      </c>
      <c r="X12" s="18">
        <f t="shared" si="21"/>
        <v>0</v>
      </c>
      <c r="Y12" s="18" t="str">
        <f t="shared" si="22"/>
        <v/>
      </c>
      <c r="Z12" s="19">
        <f>IF(W12=1,MAX(0,MIN(Settings!$B$6,(IFERROR(VLOOKUP(U11,'Bucket Status'!$A$4:$B$75,2,FALSE()),0)-(SUMIF($U$5:$U11,U11,$AK$5:$AK11)+SUMIF($V$5:$V11,U11,$AL$5:$AL11)+SUMIF($Y$5:$Y11,U11,$AA$5:$AA11)+SUMIF($AC$5:$AC11,U11,$AE$5:$AE11))))),IF(AB11&gt;0,AB11,0))</f>
        <v>0</v>
      </c>
      <c r="AA12" s="19">
        <f t="shared" si="9"/>
        <v>0</v>
      </c>
      <c r="AB12" s="19">
        <f t="shared" si="10"/>
        <v>0</v>
      </c>
      <c r="AC12" s="18" t="str">
        <f t="shared" si="23"/>
        <v/>
      </c>
      <c r="AD12" s="19">
        <f>IF(X12=1,MAX(0,MIN(Settings!$B$6-Z12,(IFERROR(VLOOKUP(V11,'Bucket Status'!$A$4:$B$75,2,FALSE()),0)-(SUMIF($U$5:$U11,V11,$AK$5:$AK11)+SUMIF($V$5:$V11,V11,$AL$5:$AL11)+SUMIF($Y$5:$Y11,V11,$AA$5:$AA11)+SUMIF($AC$5:$AC11,V11,$AE$5:$AE11))))),IF(AF11&gt;0,AF11,0))</f>
        <v>0</v>
      </c>
      <c r="AE12" s="19">
        <f t="shared" si="11"/>
        <v>0</v>
      </c>
      <c r="AF12" s="19">
        <f t="shared" si="12"/>
        <v>0</v>
      </c>
      <c r="AG12" s="20">
        <f>IFERROR(IF(C12="Y",Settings!$B$4+Settings!$B$5,0),0)</f>
        <v>0</v>
      </c>
      <c r="AH12" s="21">
        <f>IFERROR(IF(U12="","",IFERROR(VLOOKUP(U12,'Bucket Status'!$A$4:$B$75,2,FALSE()),0)-(SUMIF($U$5:$U11,U12,$AK$5:$AK11)+SUMIF($V$5:$V11,U12,$AL$5:$AL11)+SUMIF($Y$5:$Y11,U12,$AA$5:$AA11)+SUMIF($AC$5:$AC11,U12,$AE$5:$AE11))),"")</f>
        <v>3.1799999999999997</v>
      </c>
      <c r="AI12" s="22">
        <f>IFERROR(IF(V12="","",IFERROR(VLOOKUP(V12,'Bucket Status'!$A$4:$B$75,2,FALSE()),0)-(SUMIF($U$5:$U11,V12,$AK$5:$AK11)+SUMIF($V$5:$V11,V12,$AL$5:$AL11)+SUMIF($Y$5:$Y11,V12,$AA$5:$AA11)+SUMIF($AC$5:$AC11,V12,$AE$5:$AE11))),"")</f>
        <v>4.95</v>
      </c>
      <c r="AJ12" s="23">
        <f t="shared" si="13"/>
        <v>8.129999999999999</v>
      </c>
      <c r="AK12" s="21">
        <f t="shared" si="14"/>
        <v>3.1799999999999997</v>
      </c>
      <c r="AL12" s="22">
        <f t="shared" si="15"/>
        <v>0.79000000000000048</v>
      </c>
    </row>
    <row r="13" spans="1:38" ht="18" customHeight="1" x14ac:dyDescent="0.3">
      <c r="A13" s="3" t="s">
        <v>186</v>
      </c>
      <c r="B13" s="50">
        <v>46295</v>
      </c>
      <c r="C13" s="4"/>
      <c r="D13" s="5"/>
      <c r="E13" s="5"/>
      <c r="F13" s="6"/>
      <c r="G13" s="6"/>
      <c r="H13" s="7">
        <v>2.2000000000000002</v>
      </c>
      <c r="I13" s="8">
        <f t="shared" si="0"/>
        <v>2.2000000000000002</v>
      </c>
      <c r="J13" s="9">
        <f t="shared" si="1"/>
        <v>1.96</v>
      </c>
      <c r="K13" s="10" t="str">
        <f t="shared" si="2"/>
        <v/>
      </c>
      <c r="L13" s="11" t="str">
        <f t="shared" si="3"/>
        <v/>
      </c>
      <c r="M13" s="12" t="str">
        <f t="shared" si="4"/>
        <v>2.200 kg M2B-</v>
      </c>
      <c r="N13" s="13" t="str">
        <f t="shared" si="5"/>
        <v>0.000 kg M2A-</v>
      </c>
      <c r="O13" s="14" t="str">
        <f t="shared" si="6"/>
        <v>1.960 kg M2B-</v>
      </c>
      <c r="P13" s="15"/>
      <c r="Q13" s="16" t="str">
        <f t="shared" si="16"/>
        <v>M2</v>
      </c>
      <c r="R13" s="16" t="str">
        <f t="shared" si="17"/>
        <v>A</v>
      </c>
      <c r="S13" s="17" t="str">
        <f t="shared" si="18"/>
        <v>M2</v>
      </c>
      <c r="T13" s="17" t="str">
        <f t="shared" si="19"/>
        <v>B</v>
      </c>
      <c r="U13" s="16" t="str">
        <f t="shared" si="7"/>
        <v>M2A-</v>
      </c>
      <c r="V13" s="17" t="str">
        <f t="shared" si="8"/>
        <v>M2B-</v>
      </c>
      <c r="W13" s="18">
        <f t="shared" si="20"/>
        <v>0</v>
      </c>
      <c r="X13" s="18">
        <f t="shared" si="21"/>
        <v>0</v>
      </c>
      <c r="Y13" s="18" t="str">
        <f t="shared" si="22"/>
        <v/>
      </c>
      <c r="Z13" s="19">
        <f>IF(W13=1,MAX(0,MIN(Settings!$B$6,(IFERROR(VLOOKUP(U12,'Bucket Status'!$A$4:$B$75,2,FALSE()),0)-(SUMIF($U$5:$U12,U12,$AK$5:$AK12)+SUMIF($V$5:$V12,U12,$AL$5:$AL12)+SUMIF($Y$5:$Y12,U12,$AA$5:$AA12)+SUMIF($AC$5:$AC12,U12,$AE$5:$AE12))))),IF(AB12&gt;0,AB12,0))</f>
        <v>0</v>
      </c>
      <c r="AA13" s="19">
        <f t="shared" si="9"/>
        <v>0</v>
      </c>
      <c r="AB13" s="19">
        <f t="shared" si="10"/>
        <v>0</v>
      </c>
      <c r="AC13" s="18" t="str">
        <f t="shared" si="23"/>
        <v/>
      </c>
      <c r="AD13" s="19">
        <f>IF(X13=1,MAX(0,MIN(Settings!$B$6-Z13,(IFERROR(VLOOKUP(V12,'Bucket Status'!$A$4:$B$75,2,FALSE()),0)-(SUMIF($U$5:$U12,V12,$AK$5:$AK12)+SUMIF($V$5:$V12,V12,$AL$5:$AL12)+SUMIF($Y$5:$Y12,V12,$AA$5:$AA12)+SUMIF($AC$5:$AC12,V12,$AE$5:$AE12))))),IF(AF12&gt;0,AF12,0))</f>
        <v>0</v>
      </c>
      <c r="AE13" s="19">
        <f t="shared" si="11"/>
        <v>0</v>
      </c>
      <c r="AF13" s="19">
        <f t="shared" si="12"/>
        <v>0</v>
      </c>
      <c r="AG13" s="20">
        <f>IFERROR(IF(C13="Y",Settings!$B$4+Settings!$B$5,0),0)</f>
        <v>0</v>
      </c>
      <c r="AH13" s="21">
        <f>IFERROR(IF(U13="","",IFERROR(VLOOKUP(U13,'Bucket Status'!$A$4:$B$75,2,FALSE()),0)-(SUMIF($U$5:$U12,U13,$AK$5:$AK12)+SUMIF($V$5:$V12,U13,$AL$5:$AL12)+SUMIF($Y$5:$Y12,U13,$AA$5:$AA12)+SUMIF($AC$5:$AC12,U13,$AE$5:$AE12))),"")</f>
        <v>0</v>
      </c>
      <c r="AI13" s="22">
        <f>IFERROR(IF(V13="","",IFERROR(VLOOKUP(V13,'Bucket Status'!$A$4:$B$75,2,FALSE()),0)-(SUMIF($U$5:$U12,V13,$AK$5:$AK12)+SUMIF($V$5:$V12,V13,$AL$5:$AL12)+SUMIF($Y$5:$Y12,V13,$AA$5:$AA12)+SUMIF($AC$5:$AC12,V13,$AE$5:$AE12))),"")</f>
        <v>4.16</v>
      </c>
      <c r="AJ13" s="23">
        <f t="shared" si="13"/>
        <v>4.16</v>
      </c>
      <c r="AK13" s="21">
        <f t="shared" si="14"/>
        <v>0</v>
      </c>
      <c r="AL13" s="22">
        <f t="shared" si="15"/>
        <v>2.2000000000000002</v>
      </c>
    </row>
    <row r="14" spans="1:38" ht="18" customHeight="1" x14ac:dyDescent="0.3">
      <c r="A14" s="3" t="s">
        <v>188</v>
      </c>
      <c r="B14" s="50">
        <v>46297</v>
      </c>
      <c r="C14" s="4"/>
      <c r="D14" s="5" t="s">
        <v>177</v>
      </c>
      <c r="E14" s="5" t="s">
        <v>171</v>
      </c>
      <c r="F14" s="6"/>
      <c r="G14" s="6"/>
      <c r="H14" s="7">
        <v>3.6</v>
      </c>
      <c r="I14" s="8">
        <f t="shared" si="0"/>
        <v>3.6</v>
      </c>
      <c r="J14" s="9">
        <f t="shared" si="1"/>
        <v>3.4499999999999988</v>
      </c>
      <c r="K14" s="10" t="str">
        <f t="shared" si="2"/>
        <v/>
      </c>
      <c r="L14" s="11" t="str">
        <f t="shared" si="3"/>
        <v>3.600 kg M2C-</v>
      </c>
      <c r="M14" s="12" t="str">
        <f t="shared" si="4"/>
        <v/>
      </c>
      <c r="N14" s="13" t="str">
        <f t="shared" si="5"/>
        <v>1.490 kg M2C-</v>
      </c>
      <c r="O14" s="14" t="str">
        <f t="shared" si="6"/>
        <v>1.960 kg M2B-</v>
      </c>
      <c r="P14" s="15"/>
      <c r="Q14" s="16" t="str">
        <f t="shared" si="16"/>
        <v>M2</v>
      </c>
      <c r="R14" s="16" t="str">
        <f t="shared" si="17"/>
        <v>C</v>
      </c>
      <c r="S14" s="17" t="str">
        <f t="shared" si="18"/>
        <v>M2</v>
      </c>
      <c r="T14" s="17" t="str">
        <f t="shared" si="19"/>
        <v>B</v>
      </c>
      <c r="U14" s="16" t="str">
        <f t="shared" si="7"/>
        <v>M2C-</v>
      </c>
      <c r="V14" s="17" t="str">
        <f t="shared" si="8"/>
        <v>M2B-</v>
      </c>
      <c r="W14" s="18">
        <f t="shared" si="20"/>
        <v>1</v>
      </c>
      <c r="X14" s="18">
        <f t="shared" si="21"/>
        <v>0</v>
      </c>
      <c r="Y14" s="18" t="str">
        <f t="shared" si="22"/>
        <v>M2A-</v>
      </c>
      <c r="Z14" s="19">
        <f>IF(W14=1,MAX(0,MIN(Settings!$B$6,(IFERROR(VLOOKUP(U13,'Bucket Status'!$A$4:$B$75,2,FALSE()),0)-(SUMIF($U$5:$U13,U13,$AK$5:$AK13)+SUMIF($V$5:$V13,U13,$AL$5:$AL13)+SUMIF($Y$5:$Y13,U13,$AA$5:$AA13)+SUMIF($AC$5:$AC13,U13,$AE$5:$AE13))))),IF(AB13&gt;0,AB13,0))</f>
        <v>0</v>
      </c>
      <c r="AA14" s="19">
        <f t="shared" si="9"/>
        <v>0</v>
      </c>
      <c r="AB14" s="19">
        <f t="shared" si="10"/>
        <v>0</v>
      </c>
      <c r="AC14" s="18" t="str">
        <f t="shared" si="23"/>
        <v/>
      </c>
      <c r="AD14" s="19">
        <f>IF(X14=1,MAX(0,MIN(Settings!$B$6-Z14,(IFERROR(VLOOKUP(V13,'Bucket Status'!$A$4:$B$75,2,FALSE()),0)-(SUMIF($U$5:$U13,V13,$AK$5:$AK13)+SUMIF($V$5:$V13,V13,$AL$5:$AL13)+SUMIF($Y$5:$Y13,V13,$AA$5:$AA13)+SUMIF($AC$5:$AC13,V13,$AE$5:$AE13))))),IF(AF13&gt;0,AF13,0))</f>
        <v>0</v>
      </c>
      <c r="AE14" s="19">
        <f t="shared" si="11"/>
        <v>0</v>
      </c>
      <c r="AF14" s="19">
        <f t="shared" si="12"/>
        <v>0</v>
      </c>
      <c r="AG14" s="20">
        <f>IFERROR(IF(C14="Y",Settings!$B$4+Settings!$B$5,0),0)</f>
        <v>0</v>
      </c>
      <c r="AH14" s="21">
        <f>IFERROR(IF(U14="","",IFERROR(VLOOKUP(U14,'Bucket Status'!$A$4:$B$75,2,FALSE()),0)-(SUMIF($U$5:$U13,U14,$AK$5:$AK13)+SUMIF($V$5:$V13,U14,$AL$5:$AL13)+SUMIF($Y$5:$Y13,U14,$AA$5:$AA13)+SUMIF($AC$5:$AC13,U14,$AE$5:$AE13))),"")</f>
        <v>5.09</v>
      </c>
      <c r="AI14" s="22">
        <f>IFERROR(IF(V14="","",IFERROR(VLOOKUP(V14,'Bucket Status'!$A$4:$B$75,2,FALSE()),0)-(SUMIF($U$5:$U13,V14,$AK$5:$AK13)+SUMIF($V$5:$V13,V14,$AL$5:$AL13)+SUMIF($Y$5:$Y13,V14,$AA$5:$AA13)+SUMIF($AC$5:$AC13,V14,$AE$5:$AE13))),"")</f>
        <v>1.9599999999999995</v>
      </c>
      <c r="AJ14" s="23">
        <f t="shared" si="13"/>
        <v>7.0499999999999989</v>
      </c>
      <c r="AK14" s="21">
        <f t="shared" si="14"/>
        <v>3.6</v>
      </c>
      <c r="AL14" s="22">
        <f t="shared" si="15"/>
        <v>0</v>
      </c>
    </row>
    <row r="15" spans="1:38" ht="18" customHeight="1" x14ac:dyDescent="0.3">
      <c r="A15" s="3" t="s">
        <v>190</v>
      </c>
      <c r="B15" s="50">
        <v>46300</v>
      </c>
      <c r="C15" s="4"/>
      <c r="D15" s="5"/>
      <c r="E15" s="5"/>
      <c r="F15" s="6" t="s">
        <v>177</v>
      </c>
      <c r="G15" s="6" t="s">
        <v>172</v>
      </c>
      <c r="H15" s="7">
        <v>4.24</v>
      </c>
      <c r="I15" s="8">
        <f t="shared" si="0"/>
        <v>4.24</v>
      </c>
      <c r="J15" s="9">
        <f t="shared" si="1"/>
        <v>3.9899999999999989</v>
      </c>
      <c r="K15" s="10" t="str">
        <f t="shared" si="2"/>
        <v>1.960 kg M2B- (funnel)</v>
      </c>
      <c r="L15" s="11" t="str">
        <f t="shared" si="3"/>
        <v>1.490 kg M2C-</v>
      </c>
      <c r="M15" s="12" t="str">
        <f t="shared" si="4"/>
        <v>0.790 kg M2D-</v>
      </c>
      <c r="N15" s="13" t="str">
        <f t="shared" si="5"/>
        <v>0.000 kg M2C-</v>
      </c>
      <c r="O15" s="14" t="str">
        <f t="shared" si="6"/>
        <v>3.990 kg M2D-</v>
      </c>
      <c r="P15" s="15"/>
      <c r="Q15" s="16" t="str">
        <f t="shared" si="16"/>
        <v>M2</v>
      </c>
      <c r="R15" s="16" t="str">
        <f t="shared" si="17"/>
        <v>C</v>
      </c>
      <c r="S15" s="17" t="str">
        <f t="shared" si="18"/>
        <v>M2</v>
      </c>
      <c r="T15" s="17" t="str">
        <f t="shared" si="19"/>
        <v>D</v>
      </c>
      <c r="U15" s="16" t="str">
        <f t="shared" si="7"/>
        <v>M2C-</v>
      </c>
      <c r="V15" s="17" t="str">
        <f t="shared" si="8"/>
        <v>M2D-</v>
      </c>
      <c r="W15" s="18">
        <f t="shared" si="20"/>
        <v>0</v>
      </c>
      <c r="X15" s="18">
        <f t="shared" si="21"/>
        <v>1</v>
      </c>
      <c r="Y15" s="18" t="str">
        <f t="shared" si="22"/>
        <v/>
      </c>
      <c r="Z15" s="19">
        <f>IF(W15=1,MAX(0,MIN(Settings!$B$6,(IFERROR(VLOOKUP(U14,'Bucket Status'!$A$4:$B$75,2,FALSE()),0)-(SUMIF($U$5:$U14,U14,$AK$5:$AK14)+SUMIF($V$5:$V14,U14,$AL$5:$AL14)+SUMIF($Y$5:$Y14,U14,$AA$5:$AA14)+SUMIF($AC$5:$AC14,U14,$AE$5:$AE14))))),IF(AB14&gt;0,AB14,0))</f>
        <v>0</v>
      </c>
      <c r="AA15" s="19">
        <f t="shared" si="9"/>
        <v>0</v>
      </c>
      <c r="AB15" s="19">
        <f t="shared" si="10"/>
        <v>0</v>
      </c>
      <c r="AC15" s="18" t="str">
        <f t="shared" si="23"/>
        <v>M2B-</v>
      </c>
      <c r="AD15" s="19">
        <f>IF(X15=1,MAX(0,MIN(Settings!$B$6-Z15,(IFERROR(VLOOKUP(V14,'Bucket Status'!$A$4:$B$75,2,FALSE()),0)-(SUMIF($U$5:$U14,V14,$AK$5:$AK14)+SUMIF($V$5:$V14,V14,$AL$5:$AL14)+SUMIF($Y$5:$Y14,V14,$AA$5:$AA14)+SUMIF($AC$5:$AC14,V14,$AE$5:$AE14))))),IF(AF14&gt;0,AF14,0))</f>
        <v>1.9599999999999995</v>
      </c>
      <c r="AE15" s="19">
        <f t="shared" si="11"/>
        <v>1.9599999999999995</v>
      </c>
      <c r="AF15" s="19">
        <f t="shared" si="12"/>
        <v>0</v>
      </c>
      <c r="AG15" s="20">
        <f>IFERROR(IF(C15="Y",Settings!$B$4+Settings!$B$5,0),0)</f>
        <v>0</v>
      </c>
      <c r="AH15" s="21">
        <f>IFERROR(IF(U15="","",IFERROR(VLOOKUP(U15,'Bucket Status'!$A$4:$B$75,2,FALSE()),0)-(SUMIF($U$5:$U14,U15,$AK$5:$AK14)+SUMIF($V$5:$V14,U15,$AL$5:$AL14)+SUMIF($Y$5:$Y14,U15,$AA$5:$AA14)+SUMIF($AC$5:$AC14,U15,$AE$5:$AE14))),"")</f>
        <v>1.4899999999999998</v>
      </c>
      <c r="AI15" s="22">
        <f>IFERROR(IF(V15="","",IFERROR(VLOOKUP(V15,'Bucket Status'!$A$4:$B$75,2,FALSE()),0)-(SUMIF($U$5:$U14,V15,$AK$5:$AK14)+SUMIF($V$5:$V14,V15,$AL$5:$AL14)+SUMIF($Y$5:$Y14,V15,$AA$5:$AA14)+SUMIF($AC$5:$AC14,V15,$AE$5:$AE14))),"")</f>
        <v>4.78</v>
      </c>
      <c r="AJ15" s="23">
        <f t="shared" si="13"/>
        <v>6.27</v>
      </c>
      <c r="AK15" s="21">
        <f t="shared" si="14"/>
        <v>1.4899999999999998</v>
      </c>
      <c r="AL15" s="22">
        <f t="shared" si="15"/>
        <v>0.79000000000000092</v>
      </c>
    </row>
    <row r="16" spans="1:38" ht="18" customHeight="1" x14ac:dyDescent="0.3">
      <c r="A16" s="3" t="s">
        <v>194</v>
      </c>
      <c r="B16" s="50">
        <v>46301</v>
      </c>
      <c r="C16" s="4"/>
      <c r="D16" s="5" t="s">
        <v>191</v>
      </c>
      <c r="E16" s="5" t="s">
        <v>46</v>
      </c>
      <c r="F16" s="6"/>
      <c r="G16" s="6"/>
      <c r="H16" s="7">
        <v>3.5</v>
      </c>
      <c r="I16" s="8">
        <f t="shared" si="0"/>
        <v>3.5</v>
      </c>
      <c r="J16" s="9">
        <f t="shared" si="1"/>
        <v>5.4899999999999984</v>
      </c>
      <c r="K16" s="10" t="str">
        <f t="shared" si="2"/>
        <v/>
      </c>
      <c r="L16" s="11" t="str">
        <f t="shared" si="3"/>
        <v>3.500 kg M3A-</v>
      </c>
      <c r="M16" s="12" t="str">
        <f t="shared" si="4"/>
        <v/>
      </c>
      <c r="N16" s="13" t="str">
        <f t="shared" si="5"/>
        <v>1.500 kg M3A-</v>
      </c>
      <c r="O16" s="14" t="str">
        <f t="shared" si="6"/>
        <v>3.990 kg M2D-</v>
      </c>
      <c r="P16" s="15"/>
      <c r="Q16" s="16" t="str">
        <f t="shared" si="16"/>
        <v>M3</v>
      </c>
      <c r="R16" s="16" t="str">
        <f t="shared" si="17"/>
        <v>A</v>
      </c>
      <c r="S16" s="17" t="str">
        <f t="shared" si="18"/>
        <v>M2</v>
      </c>
      <c r="T16" s="17" t="str">
        <f t="shared" si="19"/>
        <v>D</v>
      </c>
      <c r="U16" s="16" t="str">
        <f t="shared" si="7"/>
        <v>M3A-</v>
      </c>
      <c r="V16" s="17" t="str">
        <f t="shared" si="8"/>
        <v>M2D-</v>
      </c>
      <c r="W16" s="18">
        <f t="shared" si="20"/>
        <v>1</v>
      </c>
      <c r="X16" s="18">
        <f t="shared" si="21"/>
        <v>0</v>
      </c>
      <c r="Y16" s="18" t="str">
        <f t="shared" si="22"/>
        <v>M2C-</v>
      </c>
      <c r="Z16" s="19">
        <f>IF(W16=1,MAX(0,MIN(Settings!$B$6,(IFERROR(VLOOKUP(U15,'Bucket Status'!$A$4:$B$75,2,FALSE()),0)-(SUMIF($U$5:$U15,U15,$AK$5:$AK15)+SUMIF($V$5:$V15,U15,$AL$5:$AL15)+SUMIF($Y$5:$Y15,U15,$AA$5:$AA15)+SUMIF($AC$5:$AC15,U15,$AE$5:$AE15))))),IF(AB15&gt;0,AB15,0))</f>
        <v>0</v>
      </c>
      <c r="AA16" s="19">
        <f t="shared" si="9"/>
        <v>0</v>
      </c>
      <c r="AB16" s="19">
        <f t="shared" si="10"/>
        <v>0</v>
      </c>
      <c r="AC16" s="18" t="str">
        <f t="shared" si="23"/>
        <v/>
      </c>
      <c r="AD16" s="19">
        <f>IF(X16=1,MAX(0,MIN(Settings!$B$6-Z16,(IFERROR(VLOOKUP(V15,'Bucket Status'!$A$4:$B$75,2,FALSE()),0)-(SUMIF($U$5:$U15,V15,$AK$5:$AK15)+SUMIF($V$5:$V15,V15,$AL$5:$AL15)+SUMIF($Y$5:$Y15,V15,$AA$5:$AA15)+SUMIF($AC$5:$AC15,V15,$AE$5:$AE15))))),IF(AF15&gt;0,AF15,0))</f>
        <v>0</v>
      </c>
      <c r="AE16" s="19">
        <f t="shared" si="11"/>
        <v>0</v>
      </c>
      <c r="AF16" s="19">
        <f t="shared" si="12"/>
        <v>0</v>
      </c>
      <c r="AG16" s="20">
        <f>IFERROR(IF(C16="Y",Settings!$B$4+Settings!$B$5,0),0)</f>
        <v>0</v>
      </c>
      <c r="AH16" s="21">
        <f>IFERROR(IF(U16="","",IFERROR(VLOOKUP(U16,'Bucket Status'!$A$4:$B$75,2,FALSE()),0)-(SUMIF($U$5:$U15,U16,$AK$5:$AK15)+SUMIF($V$5:$V15,U16,$AL$5:$AL15)+SUMIF($Y$5:$Y15,U16,$AA$5:$AA15)+SUMIF($AC$5:$AC15,U16,$AE$5:$AE15))),"")</f>
        <v>5</v>
      </c>
      <c r="AI16" s="22">
        <f>IFERROR(IF(V16="","",IFERROR(VLOOKUP(V16,'Bucket Status'!$A$4:$B$75,2,FALSE()),0)-(SUMIF($U$5:$U15,V16,$AK$5:$AK15)+SUMIF($V$5:$V15,V16,$AL$5:$AL15)+SUMIF($Y$5:$Y15,V16,$AA$5:$AA15)+SUMIF($AC$5:$AC15,V16,$AE$5:$AE15))),"")</f>
        <v>3.9899999999999993</v>
      </c>
      <c r="AJ16" s="23">
        <f t="shared" si="13"/>
        <v>8.9899999999999984</v>
      </c>
      <c r="AK16" s="21">
        <f t="shared" si="14"/>
        <v>3.5</v>
      </c>
      <c r="AL16" s="22">
        <f t="shared" si="15"/>
        <v>0</v>
      </c>
    </row>
    <row r="17" spans="1:38" ht="18" customHeight="1" x14ac:dyDescent="0.3">
      <c r="A17" s="3" t="s">
        <v>196</v>
      </c>
      <c r="B17" s="50">
        <v>46302</v>
      </c>
      <c r="C17" s="4"/>
      <c r="D17" s="5"/>
      <c r="E17" s="5"/>
      <c r="F17" s="6"/>
      <c r="G17" s="6"/>
      <c r="H17" s="7">
        <v>3.72</v>
      </c>
      <c r="I17" s="8">
        <f t="shared" si="0"/>
        <v>3.72</v>
      </c>
      <c r="J17" s="9">
        <f t="shared" si="1"/>
        <v>1.7699999999999991</v>
      </c>
      <c r="K17" s="10" t="str">
        <f t="shared" si="2"/>
        <v/>
      </c>
      <c r="L17" s="11" t="str">
        <f t="shared" si="3"/>
        <v>1.500 kg M3A-</v>
      </c>
      <c r="M17" s="12" t="str">
        <f t="shared" si="4"/>
        <v>2.220 kg M2D-</v>
      </c>
      <c r="N17" s="13" t="str">
        <f t="shared" si="5"/>
        <v>0.000 kg M3A-</v>
      </c>
      <c r="O17" s="14" t="str">
        <f t="shared" si="6"/>
        <v>1.770 kg M2D-</v>
      </c>
      <c r="P17" s="15"/>
      <c r="Q17" s="16" t="str">
        <f t="shared" si="16"/>
        <v>M3</v>
      </c>
      <c r="R17" s="16" t="str">
        <f t="shared" si="17"/>
        <v>A</v>
      </c>
      <c r="S17" s="17" t="str">
        <f t="shared" si="18"/>
        <v>M2</v>
      </c>
      <c r="T17" s="17" t="str">
        <f t="shared" si="19"/>
        <v>D</v>
      </c>
      <c r="U17" s="16" t="str">
        <f t="shared" si="7"/>
        <v>M3A-</v>
      </c>
      <c r="V17" s="17" t="str">
        <f t="shared" si="8"/>
        <v>M2D-</v>
      </c>
      <c r="W17" s="18">
        <f t="shared" si="20"/>
        <v>0</v>
      </c>
      <c r="X17" s="18">
        <f t="shared" si="21"/>
        <v>0</v>
      </c>
      <c r="Y17" s="18" t="str">
        <f t="shared" si="22"/>
        <v/>
      </c>
      <c r="Z17" s="19">
        <f>IF(W17=1,MAX(0,MIN(Settings!$B$6,(IFERROR(VLOOKUP(U16,'Bucket Status'!$A$4:$B$75,2,FALSE()),0)-(SUMIF($U$5:$U16,U16,$AK$5:$AK16)+SUMIF($V$5:$V16,U16,$AL$5:$AL16)+SUMIF($Y$5:$Y16,U16,$AA$5:$AA16)+SUMIF($AC$5:$AC16,U16,$AE$5:$AE16))))),IF(AB16&gt;0,AB16,0))</f>
        <v>0</v>
      </c>
      <c r="AA17" s="19">
        <f t="shared" si="9"/>
        <v>0</v>
      </c>
      <c r="AB17" s="19">
        <f t="shared" si="10"/>
        <v>0</v>
      </c>
      <c r="AC17" s="18" t="str">
        <f t="shared" si="23"/>
        <v/>
      </c>
      <c r="AD17" s="19">
        <f>IF(X17=1,MAX(0,MIN(Settings!$B$6-Z17,(IFERROR(VLOOKUP(V16,'Bucket Status'!$A$4:$B$75,2,FALSE()),0)-(SUMIF($U$5:$U16,V16,$AK$5:$AK16)+SUMIF($V$5:$V16,V16,$AL$5:$AL16)+SUMIF($Y$5:$Y16,V16,$AA$5:$AA16)+SUMIF($AC$5:$AC16,V16,$AE$5:$AE16))))),IF(AF16&gt;0,AF16,0))</f>
        <v>0</v>
      </c>
      <c r="AE17" s="19">
        <f t="shared" si="11"/>
        <v>0</v>
      </c>
      <c r="AF17" s="19">
        <f t="shared" si="12"/>
        <v>0</v>
      </c>
      <c r="AG17" s="20">
        <f>IFERROR(IF(C17="Y",Settings!$B$4+Settings!$B$5,0),0)</f>
        <v>0</v>
      </c>
      <c r="AH17" s="21">
        <f>IFERROR(IF(U17="","",IFERROR(VLOOKUP(U17,'Bucket Status'!$A$4:$B$75,2,FALSE()),0)-(SUMIF($U$5:$U16,U17,$AK$5:$AK16)+SUMIF($V$5:$V16,U17,$AL$5:$AL16)+SUMIF($Y$5:$Y16,U17,$AA$5:$AA16)+SUMIF($AC$5:$AC16,U17,$AE$5:$AE16))),"")</f>
        <v>1.5</v>
      </c>
      <c r="AI17" s="22">
        <f>IFERROR(IF(V17="","",IFERROR(VLOOKUP(V17,'Bucket Status'!$A$4:$B$75,2,FALSE()),0)-(SUMIF($U$5:$U16,V17,$AK$5:$AK16)+SUMIF($V$5:$V16,V17,$AL$5:$AL16)+SUMIF($Y$5:$Y16,V17,$AA$5:$AA16)+SUMIF($AC$5:$AC16,V17,$AE$5:$AE16))),"")</f>
        <v>3.9899999999999993</v>
      </c>
      <c r="AJ17" s="23">
        <f t="shared" si="13"/>
        <v>5.4899999999999993</v>
      </c>
      <c r="AK17" s="21">
        <f t="shared" si="14"/>
        <v>1.5</v>
      </c>
      <c r="AL17" s="22">
        <f t="shared" si="15"/>
        <v>2.2200000000000002</v>
      </c>
    </row>
    <row r="18" spans="1:38" ht="18" customHeight="1" x14ac:dyDescent="0.3">
      <c r="A18" s="3" t="s">
        <v>197</v>
      </c>
      <c r="B18" s="50">
        <v>46303</v>
      </c>
      <c r="C18" s="4"/>
      <c r="D18" s="5" t="s">
        <v>191</v>
      </c>
      <c r="E18" s="5" t="s">
        <v>47</v>
      </c>
      <c r="F18" s="6"/>
      <c r="G18" s="6"/>
      <c r="H18" s="7">
        <v>4.66</v>
      </c>
      <c r="I18" s="8">
        <f t="shared" si="0"/>
        <v>4.66</v>
      </c>
      <c r="J18" s="9">
        <f t="shared" si="1"/>
        <v>2.34</v>
      </c>
      <c r="K18" s="10" t="str">
        <f t="shared" si="2"/>
        <v/>
      </c>
      <c r="L18" s="11" t="str">
        <f t="shared" si="3"/>
        <v>4.660 kg M3B-</v>
      </c>
      <c r="M18" s="12" t="str">
        <f t="shared" si="4"/>
        <v/>
      </c>
      <c r="N18" s="13" t="str">
        <f t="shared" si="5"/>
        <v>0.570 kg M3B-</v>
      </c>
      <c r="O18" s="14" t="str">
        <f t="shared" si="6"/>
        <v>1.770 kg M2D-</v>
      </c>
      <c r="P18" s="15"/>
      <c r="Q18" s="16" t="str">
        <f t="shared" si="16"/>
        <v>M3</v>
      </c>
      <c r="R18" s="16" t="str">
        <f t="shared" si="17"/>
        <v>B</v>
      </c>
      <c r="S18" s="17" t="str">
        <f t="shared" si="18"/>
        <v>M2</v>
      </c>
      <c r="T18" s="17" t="str">
        <f t="shared" si="19"/>
        <v>D</v>
      </c>
      <c r="U18" s="16" t="str">
        <f t="shared" si="7"/>
        <v>M3B-</v>
      </c>
      <c r="V18" s="17" t="str">
        <f t="shared" si="8"/>
        <v>M2D-</v>
      </c>
      <c r="W18" s="18">
        <f t="shared" si="20"/>
        <v>1</v>
      </c>
      <c r="X18" s="18">
        <f t="shared" si="21"/>
        <v>0</v>
      </c>
      <c r="Y18" s="18" t="str">
        <f t="shared" si="22"/>
        <v>M3A-</v>
      </c>
      <c r="Z18" s="19">
        <f>IF(W18=1,MAX(0,MIN(Settings!$B$6,(IFERROR(VLOOKUP(U17,'Bucket Status'!$A$4:$B$75,2,FALSE()),0)-(SUMIF($U$5:$U17,U17,$AK$5:$AK17)+SUMIF($V$5:$V17,U17,$AL$5:$AL17)+SUMIF($Y$5:$Y17,U17,$AA$5:$AA17)+SUMIF($AC$5:$AC17,U17,$AE$5:$AE17))))),IF(AB17&gt;0,AB17,0))</f>
        <v>0</v>
      </c>
      <c r="AA18" s="19">
        <f t="shared" si="9"/>
        <v>0</v>
      </c>
      <c r="AB18" s="19">
        <f t="shared" si="10"/>
        <v>0</v>
      </c>
      <c r="AC18" s="18" t="str">
        <f t="shared" si="23"/>
        <v/>
      </c>
      <c r="AD18" s="19">
        <f>IF(X18=1,MAX(0,MIN(Settings!$B$6-Z18,(IFERROR(VLOOKUP(V17,'Bucket Status'!$A$4:$B$75,2,FALSE()),0)-(SUMIF($U$5:$U17,V17,$AK$5:$AK17)+SUMIF($V$5:$V17,V17,$AL$5:$AL17)+SUMIF($Y$5:$Y17,V17,$AA$5:$AA17)+SUMIF($AC$5:$AC17,V17,$AE$5:$AE17))))),IF(AF17&gt;0,AF17,0))</f>
        <v>0</v>
      </c>
      <c r="AE18" s="19">
        <f t="shared" si="11"/>
        <v>0</v>
      </c>
      <c r="AF18" s="19">
        <f t="shared" si="12"/>
        <v>0</v>
      </c>
      <c r="AG18" s="20">
        <f>IFERROR(IF(C18="Y",Settings!$B$4+Settings!$B$5,0),0)</f>
        <v>0</v>
      </c>
      <c r="AH18" s="21">
        <f>IFERROR(IF(U18="","",IFERROR(VLOOKUP(U18,'Bucket Status'!$A$4:$B$75,2,FALSE()),0)-(SUMIF($U$5:$U17,U18,$AK$5:$AK17)+SUMIF($V$5:$V17,U18,$AL$5:$AL17)+SUMIF($Y$5:$Y17,U18,$AA$5:$AA17)+SUMIF($AC$5:$AC17,U18,$AE$5:$AE17))),"")</f>
        <v>5.23</v>
      </c>
      <c r="AI18" s="22">
        <f>IFERROR(IF(V18="","",IFERROR(VLOOKUP(V18,'Bucket Status'!$A$4:$B$75,2,FALSE()),0)-(SUMIF($U$5:$U17,V18,$AK$5:$AK17)+SUMIF($V$5:$V17,V18,$AL$5:$AL17)+SUMIF($Y$5:$Y17,V18,$AA$5:$AA17)+SUMIF($AC$5:$AC17,V18,$AE$5:$AE17))),"")</f>
        <v>1.7699999999999991</v>
      </c>
      <c r="AJ18" s="23">
        <f t="shared" si="13"/>
        <v>7</v>
      </c>
      <c r="AK18" s="21">
        <f t="shared" si="14"/>
        <v>4.66</v>
      </c>
      <c r="AL18" s="22">
        <f t="shared" si="15"/>
        <v>0</v>
      </c>
    </row>
    <row r="19" spans="1:38" ht="18" customHeight="1" x14ac:dyDescent="0.3">
      <c r="A19" s="3" t="s">
        <v>200</v>
      </c>
      <c r="B19" s="50">
        <v>46304</v>
      </c>
      <c r="C19" s="4"/>
      <c r="D19" s="5"/>
      <c r="E19" s="5"/>
      <c r="F19" s="6" t="s">
        <v>191</v>
      </c>
      <c r="G19" s="6" t="s">
        <v>171</v>
      </c>
      <c r="H19" s="7">
        <v>4.5599999999999996</v>
      </c>
      <c r="I19" s="8">
        <f t="shared" si="0"/>
        <v>4.5599999999999996</v>
      </c>
      <c r="J19" s="9">
        <f t="shared" si="1"/>
        <v>2.86</v>
      </c>
      <c r="K19" s="10" t="str">
        <f t="shared" si="2"/>
        <v>1.770 kg M2D- (funnel)</v>
      </c>
      <c r="L19" s="11" t="str">
        <f t="shared" si="3"/>
        <v>0.570 kg M3B-</v>
      </c>
      <c r="M19" s="12" t="str">
        <f t="shared" si="4"/>
        <v>2.220 kg M3C-</v>
      </c>
      <c r="N19" s="13" t="str">
        <f t="shared" si="5"/>
        <v>0.000 kg M3B-</v>
      </c>
      <c r="O19" s="14" t="str">
        <f t="shared" si="6"/>
        <v>2.860 kg M3C-</v>
      </c>
      <c r="P19" s="15"/>
      <c r="Q19" s="16" t="str">
        <f t="shared" si="16"/>
        <v>M3</v>
      </c>
      <c r="R19" s="16" t="str">
        <f t="shared" si="17"/>
        <v>B</v>
      </c>
      <c r="S19" s="17" t="str">
        <f t="shared" si="18"/>
        <v>M3</v>
      </c>
      <c r="T19" s="17" t="str">
        <f t="shared" si="19"/>
        <v>C</v>
      </c>
      <c r="U19" s="16" t="str">
        <f t="shared" si="7"/>
        <v>M3B-</v>
      </c>
      <c r="V19" s="17" t="str">
        <f t="shared" si="8"/>
        <v>M3C-</v>
      </c>
      <c r="W19" s="18">
        <f t="shared" si="20"/>
        <v>0</v>
      </c>
      <c r="X19" s="18">
        <f t="shared" si="21"/>
        <v>1</v>
      </c>
      <c r="Y19" s="18" t="str">
        <f t="shared" si="22"/>
        <v/>
      </c>
      <c r="Z19" s="19">
        <f>IF(W19=1,MAX(0,MIN(Settings!$B$6,(IFERROR(VLOOKUP(U18,'Bucket Status'!$A$4:$B$75,2,FALSE()),0)-(SUMIF($U$5:$U18,U18,$AK$5:$AK18)+SUMIF($V$5:$V18,U18,$AL$5:$AL18)+SUMIF($Y$5:$Y18,U18,$AA$5:$AA18)+SUMIF($AC$5:$AC18,U18,$AE$5:$AE18))))),IF(AB18&gt;0,AB18,0))</f>
        <v>0</v>
      </c>
      <c r="AA19" s="19">
        <f t="shared" si="9"/>
        <v>0</v>
      </c>
      <c r="AB19" s="19">
        <f t="shared" si="10"/>
        <v>0</v>
      </c>
      <c r="AC19" s="18" t="str">
        <f t="shared" si="23"/>
        <v>M2D-</v>
      </c>
      <c r="AD19" s="19">
        <f>IF(X19=1,MAX(0,MIN(Settings!$B$6-Z19,(IFERROR(VLOOKUP(V18,'Bucket Status'!$A$4:$B$75,2,FALSE()),0)-(SUMIF($U$5:$U18,V18,$AK$5:$AK18)+SUMIF($V$5:$V18,V18,$AL$5:$AL18)+SUMIF($Y$5:$Y18,V18,$AA$5:$AA18)+SUMIF($AC$5:$AC18,V18,$AE$5:$AE18))))),IF(AF18&gt;0,AF18,0))</f>
        <v>1.7699999999999991</v>
      </c>
      <c r="AE19" s="19">
        <f t="shared" si="11"/>
        <v>1.7699999999999991</v>
      </c>
      <c r="AF19" s="19">
        <f t="shared" si="12"/>
        <v>0</v>
      </c>
      <c r="AG19" s="20">
        <f>IFERROR(IF(C19="Y",Settings!$B$4+Settings!$B$5,0),0)</f>
        <v>0</v>
      </c>
      <c r="AH19" s="21">
        <f>IFERROR(IF(U19="","",IFERROR(VLOOKUP(U19,'Bucket Status'!$A$4:$B$75,2,FALSE()),0)-(SUMIF($U$5:$U18,U19,$AK$5:$AK18)+SUMIF($V$5:$V18,U19,$AL$5:$AL18)+SUMIF($Y$5:$Y18,U19,$AA$5:$AA18)+SUMIF($AC$5:$AC18,U19,$AE$5:$AE18))),"")</f>
        <v>0.57000000000000028</v>
      </c>
      <c r="AI19" s="22">
        <f>IFERROR(IF(V19="","",IFERROR(VLOOKUP(V19,'Bucket Status'!$A$4:$B$75,2,FALSE()),0)-(SUMIF($U$5:$U18,V19,$AK$5:$AK18)+SUMIF($V$5:$V18,V19,$AL$5:$AL18)+SUMIF($Y$5:$Y18,V19,$AA$5:$AA18)+SUMIF($AC$5:$AC18,V19,$AE$5:$AE18))),"")</f>
        <v>5.08</v>
      </c>
      <c r="AJ19" s="23">
        <f t="shared" si="13"/>
        <v>5.65</v>
      </c>
      <c r="AK19" s="21">
        <f t="shared" si="14"/>
        <v>0.57000000000000028</v>
      </c>
      <c r="AL19" s="22">
        <f t="shared" si="15"/>
        <v>2.2200000000000002</v>
      </c>
    </row>
    <row r="20" spans="1:38" ht="18" customHeight="1" x14ac:dyDescent="0.3">
      <c r="A20" s="3" t="s">
        <v>203</v>
      </c>
      <c r="B20" s="50">
        <v>46307</v>
      </c>
      <c r="C20" s="4"/>
      <c r="D20" s="5" t="s">
        <v>202</v>
      </c>
      <c r="E20" s="5" t="s">
        <v>46</v>
      </c>
      <c r="F20" s="6"/>
      <c r="G20" s="6"/>
      <c r="H20" s="7">
        <v>4.6900000000000004</v>
      </c>
      <c r="I20" s="8">
        <f t="shared" si="0"/>
        <v>4.6900000000000004</v>
      </c>
      <c r="J20" s="9">
        <f t="shared" si="1"/>
        <v>3.2699999999999987</v>
      </c>
      <c r="K20" s="10" t="str">
        <f t="shared" si="2"/>
        <v/>
      </c>
      <c r="L20" s="11" t="str">
        <f t="shared" si="3"/>
        <v>4.690 kg M4A-</v>
      </c>
      <c r="M20" s="12" t="str">
        <f t="shared" si="4"/>
        <v/>
      </c>
      <c r="N20" s="13" t="str">
        <f t="shared" si="5"/>
        <v>0.410 kg M4A-</v>
      </c>
      <c r="O20" s="14" t="str">
        <f t="shared" si="6"/>
        <v>2.860 kg M3C-</v>
      </c>
      <c r="P20" s="15"/>
      <c r="Q20" s="16" t="str">
        <f t="shared" si="16"/>
        <v>M4</v>
      </c>
      <c r="R20" s="16" t="str">
        <f t="shared" si="17"/>
        <v>A</v>
      </c>
      <c r="S20" s="17" t="str">
        <f t="shared" si="18"/>
        <v>M3</v>
      </c>
      <c r="T20" s="17" t="str">
        <f t="shared" si="19"/>
        <v>C</v>
      </c>
      <c r="U20" s="16" t="str">
        <f t="shared" si="7"/>
        <v>M4A-</v>
      </c>
      <c r="V20" s="17" t="str">
        <f t="shared" si="8"/>
        <v>M3C-</v>
      </c>
      <c r="W20" s="18">
        <f t="shared" si="20"/>
        <v>1</v>
      </c>
      <c r="X20" s="18">
        <f t="shared" si="21"/>
        <v>0</v>
      </c>
      <c r="Y20" s="18" t="str">
        <f t="shared" si="22"/>
        <v>M3B-</v>
      </c>
      <c r="Z20" s="19">
        <f>IF(W20=1,MAX(0,MIN(Settings!$B$6,(IFERROR(VLOOKUP(U19,'Bucket Status'!$A$4:$B$75,2,FALSE()),0)-(SUMIF($U$5:$U19,U19,$AK$5:$AK19)+SUMIF($V$5:$V19,U19,$AL$5:$AL19)+SUMIF($Y$5:$Y19,U19,$AA$5:$AA19)+SUMIF($AC$5:$AC19,U19,$AE$5:$AE19))))),IF(AB19&gt;0,AB19,0))</f>
        <v>0</v>
      </c>
      <c r="AA20" s="19">
        <f t="shared" si="9"/>
        <v>0</v>
      </c>
      <c r="AB20" s="19">
        <f t="shared" si="10"/>
        <v>0</v>
      </c>
      <c r="AC20" s="18" t="str">
        <f t="shared" si="23"/>
        <v/>
      </c>
      <c r="AD20" s="19">
        <f>IF(X20=1,MAX(0,MIN(Settings!$B$6-Z20,(IFERROR(VLOOKUP(V19,'Bucket Status'!$A$4:$B$75,2,FALSE()),0)-(SUMIF($U$5:$U19,V19,$AK$5:$AK19)+SUMIF($V$5:$V19,V19,$AL$5:$AL19)+SUMIF($Y$5:$Y19,V19,$AA$5:$AA19)+SUMIF($AC$5:$AC19,V19,$AE$5:$AE19))))),IF(AF19&gt;0,AF19,0))</f>
        <v>0</v>
      </c>
      <c r="AE20" s="19">
        <f t="shared" si="11"/>
        <v>0</v>
      </c>
      <c r="AF20" s="19">
        <f t="shared" si="12"/>
        <v>0</v>
      </c>
      <c r="AG20" s="20">
        <f>IFERROR(IF(C20="Y",Settings!$B$4+Settings!$B$5,0),0)</f>
        <v>0</v>
      </c>
      <c r="AH20" s="21">
        <f>IFERROR(IF(U20="","",IFERROR(VLOOKUP(U20,'Bucket Status'!$A$4:$B$75,2,FALSE()),0)-(SUMIF($U$5:$U19,U20,$AK$5:$AK19)+SUMIF($V$5:$V19,U20,$AL$5:$AL19)+SUMIF($Y$5:$Y19,U20,$AA$5:$AA19)+SUMIF($AC$5:$AC19,U20,$AE$5:$AE19))),"")</f>
        <v>5.0999999999999996</v>
      </c>
      <c r="AI20" s="22">
        <f>IFERROR(IF(V20="","",IFERROR(VLOOKUP(V20,'Bucket Status'!$A$4:$B$75,2,FALSE()),0)-(SUMIF($U$5:$U19,V20,$AK$5:$AK19)+SUMIF($V$5:$V19,V20,$AL$5:$AL19)+SUMIF($Y$5:$Y19,V20,$AA$5:$AA19)+SUMIF($AC$5:$AC19,V20,$AE$5:$AE19))),"")</f>
        <v>2.86</v>
      </c>
      <c r="AJ20" s="23">
        <f t="shared" si="13"/>
        <v>7.9599999999999991</v>
      </c>
      <c r="AK20" s="21">
        <f t="shared" si="14"/>
        <v>4.6900000000000004</v>
      </c>
      <c r="AL20" s="22">
        <f t="shared" si="15"/>
        <v>0</v>
      </c>
    </row>
    <row r="21" spans="1:38" ht="18" customHeight="1" x14ac:dyDescent="0.3">
      <c r="A21" s="3" t="s">
        <v>205</v>
      </c>
      <c r="B21" s="50">
        <v>46308</v>
      </c>
      <c r="C21" s="4"/>
      <c r="D21" s="5"/>
      <c r="E21" s="5"/>
      <c r="F21" s="6" t="s">
        <v>202</v>
      </c>
      <c r="G21" s="6" t="s">
        <v>47</v>
      </c>
      <c r="H21" s="7">
        <v>4.6900000000000004</v>
      </c>
      <c r="I21" s="8">
        <f t="shared" si="0"/>
        <v>4.6900000000000004</v>
      </c>
      <c r="J21" s="9">
        <f t="shared" si="1"/>
        <v>3.6799999999999984</v>
      </c>
      <c r="K21" s="10" t="str">
        <f t="shared" si="2"/>
        <v>2.860 kg M3C- (funnel)</v>
      </c>
      <c r="L21" s="11" t="str">
        <f t="shared" si="3"/>
        <v>0.410 kg M4A-</v>
      </c>
      <c r="M21" s="12" t="str">
        <f t="shared" si="4"/>
        <v>1.420 kg M4B-</v>
      </c>
      <c r="N21" s="13" t="str">
        <f t="shared" si="5"/>
        <v>0.000 kg M4A-</v>
      </c>
      <c r="O21" s="14" t="str">
        <f t="shared" si="6"/>
        <v>3.680 kg M4B-</v>
      </c>
      <c r="P21" s="15"/>
      <c r="Q21" s="16" t="str">
        <f t="shared" si="16"/>
        <v>M4</v>
      </c>
      <c r="R21" s="16" t="str">
        <f t="shared" si="17"/>
        <v>A</v>
      </c>
      <c r="S21" s="17" t="str">
        <f t="shared" si="18"/>
        <v>M4</v>
      </c>
      <c r="T21" s="17" t="str">
        <f t="shared" si="19"/>
        <v>B</v>
      </c>
      <c r="U21" s="16" t="str">
        <f t="shared" si="7"/>
        <v>M4A-</v>
      </c>
      <c r="V21" s="17" t="str">
        <f t="shared" si="8"/>
        <v>M4B-</v>
      </c>
      <c r="W21" s="18">
        <f t="shared" si="20"/>
        <v>0</v>
      </c>
      <c r="X21" s="18">
        <f t="shared" si="21"/>
        <v>1</v>
      </c>
      <c r="Y21" s="18" t="str">
        <f t="shared" si="22"/>
        <v/>
      </c>
      <c r="Z21" s="19">
        <f>IF(W21=1,MAX(0,MIN(Settings!$B$6,(IFERROR(VLOOKUP(U20,'Bucket Status'!$A$4:$B$75,2,FALSE()),0)-(SUMIF($U$5:$U20,U20,$AK$5:$AK20)+SUMIF($V$5:$V20,U20,$AL$5:$AL20)+SUMIF($Y$5:$Y20,U20,$AA$5:$AA20)+SUMIF($AC$5:$AC20,U20,$AE$5:$AE20))))),IF(AB20&gt;0,AB20,0))</f>
        <v>0</v>
      </c>
      <c r="AA21" s="19">
        <f t="shared" si="9"/>
        <v>0</v>
      </c>
      <c r="AB21" s="19">
        <f t="shared" si="10"/>
        <v>0</v>
      </c>
      <c r="AC21" s="18" t="str">
        <f t="shared" si="23"/>
        <v>M3C-</v>
      </c>
      <c r="AD21" s="19">
        <f>IF(X21=1,MAX(0,MIN(Settings!$B$6-Z21,(IFERROR(VLOOKUP(V20,'Bucket Status'!$A$4:$B$75,2,FALSE()),0)-(SUMIF($U$5:$U20,V20,$AK$5:$AK20)+SUMIF($V$5:$V20,V20,$AL$5:$AL20)+SUMIF($Y$5:$Y20,V20,$AA$5:$AA20)+SUMIF($AC$5:$AC20,V20,$AE$5:$AE20))))),IF(AF20&gt;0,AF20,0))</f>
        <v>2.86</v>
      </c>
      <c r="AE21" s="19">
        <f t="shared" si="11"/>
        <v>2.86</v>
      </c>
      <c r="AF21" s="19">
        <f t="shared" si="12"/>
        <v>0</v>
      </c>
      <c r="AG21" s="20">
        <f>IFERROR(IF(C21="Y",Settings!$B$4+Settings!$B$5,0),0)</f>
        <v>0</v>
      </c>
      <c r="AH21" s="21">
        <f>IFERROR(IF(U21="","",IFERROR(VLOOKUP(U21,'Bucket Status'!$A$4:$B$75,2,FALSE()),0)-(SUMIF($U$5:$U20,U21,$AK$5:$AK20)+SUMIF($V$5:$V20,U21,$AL$5:$AL20)+SUMIF($Y$5:$Y20,U21,$AA$5:$AA20)+SUMIF($AC$5:$AC20,U21,$AE$5:$AE20))),"")</f>
        <v>0.40999999999999925</v>
      </c>
      <c r="AI21" s="22">
        <f>IFERROR(IF(V21="","",IFERROR(VLOOKUP(V21,'Bucket Status'!$A$4:$B$75,2,FALSE()),0)-(SUMIF($U$5:$U20,V21,$AK$5:$AK20)+SUMIF($V$5:$V20,V21,$AL$5:$AL20)+SUMIF($Y$5:$Y20,V21,$AA$5:$AA20)+SUMIF($AC$5:$AC20,V21,$AE$5:$AE20))),"")</f>
        <v>5.0999999999999996</v>
      </c>
      <c r="AJ21" s="23">
        <f t="shared" si="13"/>
        <v>5.5099999999999989</v>
      </c>
      <c r="AK21" s="21">
        <f t="shared" si="14"/>
        <v>0.40999999999999925</v>
      </c>
      <c r="AL21" s="22">
        <f t="shared" si="15"/>
        <v>1.4200000000000013</v>
      </c>
    </row>
    <row r="22" spans="1:38" ht="18" customHeight="1" x14ac:dyDescent="0.3">
      <c r="A22" s="3" t="s">
        <v>208</v>
      </c>
      <c r="B22" s="50">
        <v>46309</v>
      </c>
      <c r="C22" s="4"/>
      <c r="D22" s="5" t="s">
        <v>202</v>
      </c>
      <c r="E22" s="5" t="s">
        <v>171</v>
      </c>
      <c r="F22" s="6"/>
      <c r="G22" s="6"/>
      <c r="H22" s="7"/>
      <c r="I22" s="8" t="str">
        <f t="shared" si="0"/>
        <v/>
      </c>
      <c r="J22" s="9" t="str">
        <f t="shared" si="1"/>
        <v/>
      </c>
      <c r="K22" s="10" t="str">
        <f t="shared" si="2"/>
        <v/>
      </c>
      <c r="L22" s="11" t="str">
        <f t="shared" si="3"/>
        <v/>
      </c>
      <c r="M22" s="12" t="str">
        <f t="shared" si="4"/>
        <v/>
      </c>
      <c r="N22" s="13" t="str">
        <f t="shared" si="5"/>
        <v/>
      </c>
      <c r="O22" s="14" t="str">
        <f t="shared" si="6"/>
        <v/>
      </c>
      <c r="P22" s="15"/>
      <c r="Q22" s="16" t="str">
        <f t="shared" si="16"/>
        <v>M4</v>
      </c>
      <c r="R22" s="16" t="str">
        <f t="shared" si="17"/>
        <v>C</v>
      </c>
      <c r="S22" s="17" t="str">
        <f t="shared" si="18"/>
        <v>M4</v>
      </c>
      <c r="T22" s="17" t="str">
        <f t="shared" si="19"/>
        <v>B</v>
      </c>
      <c r="U22" s="16" t="str">
        <f t="shared" si="7"/>
        <v>M4C-</v>
      </c>
      <c r="V22" s="17" t="str">
        <f t="shared" si="8"/>
        <v>M4B-</v>
      </c>
      <c r="W22" s="18">
        <f t="shared" si="20"/>
        <v>1</v>
      </c>
      <c r="X22" s="18">
        <f t="shared" si="21"/>
        <v>0</v>
      </c>
      <c r="Y22" s="18" t="str">
        <f t="shared" si="22"/>
        <v>M4A-</v>
      </c>
      <c r="Z22" s="19">
        <f>IF(W22=1,MAX(0,MIN(Settings!$B$6,(IFERROR(VLOOKUP(U21,'Bucket Status'!$A$4:$B$75,2,FALSE()),0)-(SUMIF($U$5:$U21,U21,$AK$5:$AK21)+SUMIF($V$5:$V21,U21,$AL$5:$AL21)+SUMIF($Y$5:$Y21,U21,$AA$5:$AA21)+SUMIF($AC$5:$AC21,U21,$AE$5:$AE21))))),IF(AB21&gt;0,AB21,0))</f>
        <v>0</v>
      </c>
      <c r="AA22" s="19">
        <f t="shared" si="9"/>
        <v>0</v>
      </c>
      <c r="AB22" s="19">
        <f t="shared" si="10"/>
        <v>0</v>
      </c>
      <c r="AC22" s="18" t="str">
        <f t="shared" si="23"/>
        <v/>
      </c>
      <c r="AD22" s="19">
        <f>IF(X22=1,MAX(0,MIN(Settings!$B$6-Z22,(IFERROR(VLOOKUP(V21,'Bucket Status'!$A$4:$B$75,2,FALSE()),0)-(SUMIF($U$5:$U21,V21,$AK$5:$AK21)+SUMIF($V$5:$V21,V21,$AL$5:$AL21)+SUMIF($Y$5:$Y21,V21,$AA$5:$AA21)+SUMIF($AC$5:$AC21,V21,$AE$5:$AE21))))),IF(AF21&gt;0,AF21,0))</f>
        <v>0</v>
      </c>
      <c r="AE22" s="19">
        <f t="shared" si="11"/>
        <v>0</v>
      </c>
      <c r="AF22" s="19">
        <f t="shared" si="12"/>
        <v>0</v>
      </c>
      <c r="AG22" s="20">
        <f>IFERROR(IF(C22="Y",Settings!$B$4+Settings!$B$5,0),0)</f>
        <v>0</v>
      </c>
      <c r="AH22" s="21">
        <f>IFERROR(IF(U22="","",IFERROR(VLOOKUP(U22,'Bucket Status'!$A$4:$B$75,2,FALSE()),0)-(SUMIF($U$5:$U21,U22,$AK$5:$AK21)+SUMIF($V$5:$V21,U22,$AL$5:$AL21)+SUMIF($Y$5:$Y21,U22,$AA$5:$AA21)+SUMIF($AC$5:$AC21,U22,$AE$5:$AE21))),"")</f>
        <v>4.9800000000000004</v>
      </c>
      <c r="AI22" s="22">
        <f>IFERROR(IF(V22="","",IFERROR(VLOOKUP(V22,'Bucket Status'!$A$4:$B$75,2,FALSE()),0)-(SUMIF($U$5:$U21,V22,$AK$5:$AK21)+SUMIF($V$5:$V21,V22,$AL$5:$AL21)+SUMIF($Y$5:$Y21,V22,$AA$5:$AA21)+SUMIF($AC$5:$AC21,V22,$AE$5:$AE21))),"")</f>
        <v>3.6799999999999984</v>
      </c>
      <c r="AJ22" s="23">
        <f t="shared" si="13"/>
        <v>8.6599999999999984</v>
      </c>
      <c r="AK22" s="21" t="str">
        <f t="shared" si="14"/>
        <v/>
      </c>
      <c r="AL22" s="22" t="str">
        <f t="shared" si="15"/>
        <v/>
      </c>
    </row>
    <row r="23" spans="1:38" ht="18" customHeight="1" x14ac:dyDescent="0.3">
      <c r="A23" s="3"/>
      <c r="B23" s="50"/>
      <c r="C23" s="4"/>
      <c r="D23" s="5"/>
      <c r="E23" s="5"/>
      <c r="F23" s="6"/>
      <c r="G23" s="6"/>
      <c r="H23" s="7" t="s">
        <v>207</v>
      </c>
      <c r="I23" s="8" t="str">
        <f t="shared" si="0"/>
        <v/>
      </c>
      <c r="J23" s="9" t="str">
        <f t="shared" si="1"/>
        <v/>
      </c>
      <c r="K23" s="10" t="str">
        <f t="shared" si="2"/>
        <v/>
      </c>
      <c r="L23" s="11" t="str">
        <f t="shared" si="3"/>
        <v/>
      </c>
      <c r="M23" s="12" t="str">
        <f t="shared" si="4"/>
        <v/>
      </c>
      <c r="N23" s="13" t="str">
        <f t="shared" si="5"/>
        <v/>
      </c>
      <c r="O23" s="14" t="str">
        <f t="shared" si="6"/>
        <v/>
      </c>
      <c r="P23" s="15"/>
      <c r="Q23" s="16" t="str">
        <f t="shared" si="16"/>
        <v/>
      </c>
      <c r="R23" s="16" t="str">
        <f t="shared" si="17"/>
        <v/>
      </c>
      <c r="S23" s="17" t="str">
        <f t="shared" si="18"/>
        <v/>
      </c>
      <c r="T23" s="17" t="str">
        <f t="shared" si="19"/>
        <v/>
      </c>
      <c r="U23" s="16" t="str">
        <f t="shared" si="7"/>
        <v/>
      </c>
      <c r="V23" s="17" t="str">
        <f t="shared" si="8"/>
        <v/>
      </c>
      <c r="W23" s="18">
        <f t="shared" si="20"/>
        <v>0</v>
      </c>
      <c r="X23" s="18">
        <f t="shared" si="21"/>
        <v>0</v>
      </c>
      <c r="Y23" s="18" t="str">
        <f t="shared" si="22"/>
        <v/>
      </c>
      <c r="Z23" s="19">
        <f>IF(W23=1,MAX(0,MIN(Settings!$B$6,(IFERROR(VLOOKUP(U22,'Bucket Status'!$A$4:$B$75,2,FALSE()),0)-(SUMIF($U$5:$U22,U22,$AK$5:$AK22)+SUMIF($V$5:$V22,U22,$AL$5:$AL22)+SUMIF($Y$5:$Y22,U22,$AA$5:$AA22)+SUMIF($AC$5:$AC22,U22,$AE$5:$AE22))))),IF(AB22&gt;0,AB22,0))</f>
        <v>0</v>
      </c>
      <c r="AA23" s="19">
        <f t="shared" si="9"/>
        <v>0</v>
      </c>
      <c r="AB23" s="19">
        <f t="shared" si="10"/>
        <v>0</v>
      </c>
      <c r="AC23" s="18" t="str">
        <f t="shared" si="23"/>
        <v/>
      </c>
      <c r="AD23" s="19">
        <f>IF(X23=1,MAX(0,MIN(Settings!$B$6-Z23,(IFERROR(VLOOKUP(V22,'Bucket Status'!$A$4:$B$75,2,FALSE()),0)-(SUMIF($U$5:$U22,V22,$AK$5:$AK22)+SUMIF($V$5:$V22,V22,$AL$5:$AL22)+SUMIF($Y$5:$Y22,V22,$AA$5:$AA22)+SUMIF($AC$5:$AC22,V22,$AE$5:$AE22))))),IF(AF22&gt;0,AF22,0))</f>
        <v>0</v>
      </c>
      <c r="AE23" s="19">
        <f t="shared" si="11"/>
        <v>0</v>
      </c>
      <c r="AF23" s="19">
        <f t="shared" si="12"/>
        <v>0</v>
      </c>
      <c r="AG23" s="20">
        <f>IFERROR(IF(C23="Y",Settings!$B$4+Settings!$B$5,0),0)</f>
        <v>0</v>
      </c>
      <c r="AH23" s="21" t="str">
        <f>IFERROR(IF(U23="","",IFERROR(VLOOKUP(U23,'Bucket Status'!$A$4:$B$75,2,FALSE()),0)-(SUMIF($U$5:$U22,U23,$AK$5:$AK22)+SUMIF($V$5:$V22,U23,$AL$5:$AL22)+SUMIF($Y$5:$Y22,U23,$AA$5:$AA22)+SUMIF($AC$5:$AC22,U23,$AE$5:$AE22))),"")</f>
        <v/>
      </c>
      <c r="AI23" s="22" t="str">
        <f>IFERROR(IF(V23="","",IFERROR(VLOOKUP(V23,'Bucket Status'!$A$4:$B$75,2,FALSE()),0)-(SUMIF($U$5:$U22,V23,$AK$5:$AK22)+SUMIF($V$5:$V22,V23,$AL$5:$AL22)+SUMIF($Y$5:$Y22,V23,$AA$5:$AA22)+SUMIF($AC$5:$AC22,V23,$AE$5:$AE22))),"")</f>
        <v/>
      </c>
      <c r="AJ23" s="23" t="str">
        <f t="shared" si="13"/>
        <v/>
      </c>
      <c r="AK23" s="21" t="str">
        <f t="shared" si="14"/>
        <v/>
      </c>
      <c r="AL23" s="22" t="str">
        <f t="shared" si="15"/>
        <v/>
      </c>
    </row>
    <row r="24" spans="1:38" ht="18" customHeight="1" x14ac:dyDescent="0.3">
      <c r="A24" s="3"/>
      <c r="B24" s="50"/>
      <c r="C24" s="4"/>
      <c r="D24" s="5"/>
      <c r="E24" s="5"/>
      <c r="F24" s="6"/>
      <c r="G24" s="6"/>
      <c r="H24" s="7"/>
      <c r="I24" s="8" t="str">
        <f t="shared" si="0"/>
        <v/>
      </c>
      <c r="J24" s="9" t="str">
        <f t="shared" si="1"/>
        <v/>
      </c>
      <c r="K24" s="10" t="str">
        <f t="shared" si="2"/>
        <v/>
      </c>
      <c r="L24" s="11" t="str">
        <f t="shared" si="3"/>
        <v/>
      </c>
      <c r="M24" s="12" t="str">
        <f t="shared" si="4"/>
        <v/>
      </c>
      <c r="N24" s="13" t="str">
        <f t="shared" si="5"/>
        <v/>
      </c>
      <c r="O24" s="14" t="str">
        <f t="shared" si="6"/>
        <v/>
      </c>
      <c r="P24" s="15"/>
      <c r="Q24" s="16" t="str">
        <f t="shared" si="16"/>
        <v/>
      </c>
      <c r="R24" s="16" t="str">
        <f t="shared" si="17"/>
        <v/>
      </c>
      <c r="S24" s="17" t="str">
        <f t="shared" si="18"/>
        <v/>
      </c>
      <c r="T24" s="17" t="str">
        <f t="shared" si="19"/>
        <v/>
      </c>
      <c r="U24" s="16" t="str">
        <f t="shared" si="7"/>
        <v/>
      </c>
      <c r="V24" s="17" t="str">
        <f t="shared" si="8"/>
        <v/>
      </c>
      <c r="W24" s="18">
        <f t="shared" si="20"/>
        <v>0</v>
      </c>
      <c r="X24" s="18">
        <f t="shared" si="21"/>
        <v>0</v>
      </c>
      <c r="Y24" s="18" t="str">
        <f t="shared" si="22"/>
        <v/>
      </c>
      <c r="Z24" s="19">
        <f>IF(W24=1,MAX(0,MIN(Settings!$B$6,(IFERROR(VLOOKUP(U23,'Bucket Status'!$A$4:$B$75,2,FALSE()),0)-(SUMIF($U$5:$U23,U23,$AK$5:$AK23)+SUMIF($V$5:$V23,U23,$AL$5:$AL23)+SUMIF($Y$5:$Y23,U23,$AA$5:$AA23)+SUMIF($AC$5:$AC23,U23,$AE$5:$AE23))))),IF(AB23&gt;0,AB23,0))</f>
        <v>0</v>
      </c>
      <c r="AA24" s="19">
        <f t="shared" si="9"/>
        <v>0</v>
      </c>
      <c r="AB24" s="19">
        <f t="shared" si="10"/>
        <v>0</v>
      </c>
      <c r="AC24" s="18" t="str">
        <f t="shared" si="23"/>
        <v/>
      </c>
      <c r="AD24" s="19">
        <f>IF(X24=1,MAX(0,MIN(Settings!$B$6-Z24,(IFERROR(VLOOKUP(V23,'Bucket Status'!$A$4:$B$75,2,FALSE()),0)-(SUMIF($U$5:$U23,V23,$AK$5:$AK23)+SUMIF($V$5:$V23,V23,$AL$5:$AL23)+SUMIF($Y$5:$Y23,V23,$AA$5:$AA23)+SUMIF($AC$5:$AC23,V23,$AE$5:$AE23))))),IF(AF23&gt;0,AF23,0))</f>
        <v>0</v>
      </c>
      <c r="AE24" s="19">
        <f t="shared" si="11"/>
        <v>0</v>
      </c>
      <c r="AF24" s="19">
        <f t="shared" si="12"/>
        <v>0</v>
      </c>
      <c r="AG24" s="20">
        <f>IFERROR(IF(C24="Y",Settings!$B$4+Settings!$B$5,0),0)</f>
        <v>0</v>
      </c>
      <c r="AH24" s="21" t="str">
        <f>IFERROR(IF(U24="","",IFERROR(VLOOKUP(U24,'Bucket Status'!$A$4:$B$75,2,FALSE()),0)-(SUMIF($U$5:$U23,U24,$AK$5:$AK23)+SUMIF($V$5:$V23,U24,$AL$5:$AL23)+SUMIF($Y$5:$Y23,U24,$AA$5:$AA23)+SUMIF($AC$5:$AC23,U24,$AE$5:$AE23))),"")</f>
        <v/>
      </c>
      <c r="AI24" s="22" t="str">
        <f>IFERROR(IF(V24="","",IFERROR(VLOOKUP(V24,'Bucket Status'!$A$4:$B$75,2,FALSE()),0)-(SUMIF($U$5:$U23,V24,$AK$5:$AK23)+SUMIF($V$5:$V23,V24,$AL$5:$AL23)+SUMIF($Y$5:$Y23,V24,$AA$5:$AA23)+SUMIF($AC$5:$AC23,V24,$AE$5:$AE23))),"")</f>
        <v/>
      </c>
      <c r="AJ24" s="23" t="str">
        <f t="shared" si="13"/>
        <v/>
      </c>
      <c r="AK24" s="21" t="str">
        <f t="shared" si="14"/>
        <v/>
      </c>
      <c r="AL24" s="22" t="str">
        <f t="shared" si="15"/>
        <v/>
      </c>
    </row>
    <row r="25" spans="1:38" ht="18" customHeight="1" x14ac:dyDescent="0.3">
      <c r="A25" s="3"/>
      <c r="B25" s="50"/>
      <c r="C25" s="4"/>
      <c r="D25" s="5"/>
      <c r="E25" s="5"/>
      <c r="F25" s="6"/>
      <c r="G25" s="6"/>
      <c r="H25" s="7"/>
      <c r="I25" s="8" t="str">
        <f t="shared" si="0"/>
        <v/>
      </c>
      <c r="J25" s="9" t="str">
        <f t="shared" si="1"/>
        <v/>
      </c>
      <c r="K25" s="10" t="str">
        <f t="shared" si="2"/>
        <v/>
      </c>
      <c r="L25" s="11" t="str">
        <f t="shared" si="3"/>
        <v/>
      </c>
      <c r="M25" s="12" t="str">
        <f t="shared" si="4"/>
        <v/>
      </c>
      <c r="N25" s="13" t="str">
        <f t="shared" si="5"/>
        <v/>
      </c>
      <c r="O25" s="14" t="str">
        <f t="shared" si="6"/>
        <v/>
      </c>
      <c r="P25" s="15"/>
      <c r="Q25" s="16" t="str">
        <f t="shared" si="16"/>
        <v/>
      </c>
      <c r="R25" s="16" t="str">
        <f t="shared" si="17"/>
        <v/>
      </c>
      <c r="S25" s="17" t="str">
        <f t="shared" si="18"/>
        <v/>
      </c>
      <c r="T25" s="17" t="str">
        <f t="shared" si="19"/>
        <v/>
      </c>
      <c r="U25" s="16" t="str">
        <f t="shared" si="7"/>
        <v/>
      </c>
      <c r="V25" s="17" t="str">
        <f t="shared" si="8"/>
        <v/>
      </c>
      <c r="W25" s="18">
        <f t="shared" si="20"/>
        <v>0</v>
      </c>
      <c r="X25" s="18">
        <f t="shared" si="21"/>
        <v>0</v>
      </c>
      <c r="Y25" s="18" t="str">
        <f t="shared" si="22"/>
        <v/>
      </c>
      <c r="Z25" s="19">
        <f>IF(W25=1,MAX(0,MIN(Settings!$B$6,(IFERROR(VLOOKUP(U24,'Bucket Status'!$A$4:$B$75,2,FALSE()),0)-(SUMIF($U$5:$U24,U24,$AK$5:$AK24)+SUMIF($V$5:$V24,U24,$AL$5:$AL24)+SUMIF($Y$5:$Y24,U24,$AA$5:$AA24)+SUMIF($AC$5:$AC24,U24,$AE$5:$AE24))))),IF(AB24&gt;0,AB24,0))</f>
        <v>0</v>
      </c>
      <c r="AA25" s="19">
        <f t="shared" si="9"/>
        <v>0</v>
      </c>
      <c r="AB25" s="19">
        <f t="shared" si="10"/>
        <v>0</v>
      </c>
      <c r="AC25" s="18" t="str">
        <f t="shared" si="23"/>
        <v/>
      </c>
      <c r="AD25" s="19">
        <f>IF(X25=1,MAX(0,MIN(Settings!$B$6-Z25,(IFERROR(VLOOKUP(V24,'Bucket Status'!$A$4:$B$75,2,FALSE()),0)-(SUMIF($U$5:$U24,V24,$AK$5:$AK24)+SUMIF($V$5:$V24,V24,$AL$5:$AL24)+SUMIF($Y$5:$Y24,V24,$AA$5:$AA24)+SUMIF($AC$5:$AC24,V24,$AE$5:$AE24))))),IF(AF24&gt;0,AF24,0))</f>
        <v>0</v>
      </c>
      <c r="AE25" s="19">
        <f t="shared" si="11"/>
        <v>0</v>
      </c>
      <c r="AF25" s="19">
        <f t="shared" si="12"/>
        <v>0</v>
      </c>
      <c r="AG25" s="20">
        <f>IFERROR(IF(C25="Y",Settings!$B$4+Settings!$B$5,0),0)</f>
        <v>0</v>
      </c>
      <c r="AH25" s="21" t="str">
        <f>IFERROR(IF(U25="","",IFERROR(VLOOKUP(U25,'Bucket Status'!$A$4:$B$75,2,FALSE()),0)-(SUMIF($U$5:$U24,U25,$AK$5:$AK24)+SUMIF($V$5:$V24,U25,$AL$5:$AL24)+SUMIF($Y$5:$Y24,U25,$AA$5:$AA24)+SUMIF($AC$5:$AC24,U25,$AE$5:$AE24))),"")</f>
        <v/>
      </c>
      <c r="AI25" s="22" t="str">
        <f>IFERROR(IF(V25="","",IFERROR(VLOOKUP(V25,'Bucket Status'!$A$4:$B$75,2,FALSE()),0)-(SUMIF($U$5:$U24,V25,$AK$5:$AK24)+SUMIF($V$5:$V24,V25,$AL$5:$AL24)+SUMIF($Y$5:$Y24,V25,$AA$5:$AA24)+SUMIF($AC$5:$AC24,V25,$AE$5:$AE24))),"")</f>
        <v/>
      </c>
      <c r="AJ25" s="23" t="str">
        <f t="shared" si="13"/>
        <v/>
      </c>
      <c r="AK25" s="21" t="str">
        <f t="shared" si="14"/>
        <v/>
      </c>
      <c r="AL25" s="22" t="str">
        <f t="shared" si="15"/>
        <v/>
      </c>
    </row>
    <row r="26" spans="1:38" ht="18" customHeight="1" x14ac:dyDescent="0.3">
      <c r="A26" s="3"/>
      <c r="B26" s="50"/>
      <c r="C26" s="4"/>
      <c r="D26" s="5"/>
      <c r="E26" s="5"/>
      <c r="F26" s="6"/>
      <c r="G26" s="6"/>
      <c r="H26" s="7"/>
      <c r="I26" s="8" t="str">
        <f t="shared" si="0"/>
        <v/>
      </c>
      <c r="J26" s="9" t="str">
        <f t="shared" si="1"/>
        <v/>
      </c>
      <c r="K26" s="10" t="str">
        <f t="shared" si="2"/>
        <v/>
      </c>
      <c r="L26" s="11" t="str">
        <f t="shared" si="3"/>
        <v/>
      </c>
      <c r="M26" s="12" t="str">
        <f t="shared" si="4"/>
        <v/>
      </c>
      <c r="N26" s="13" t="str">
        <f t="shared" si="5"/>
        <v/>
      </c>
      <c r="O26" s="14" t="str">
        <f t="shared" si="6"/>
        <v/>
      </c>
      <c r="P26" s="15"/>
      <c r="Q26" s="16" t="str">
        <f t="shared" si="16"/>
        <v/>
      </c>
      <c r="R26" s="16" t="str">
        <f t="shared" si="17"/>
        <v/>
      </c>
      <c r="S26" s="17" t="str">
        <f t="shared" si="18"/>
        <v/>
      </c>
      <c r="T26" s="17" t="str">
        <f t="shared" si="19"/>
        <v/>
      </c>
      <c r="U26" s="16" t="str">
        <f t="shared" si="7"/>
        <v/>
      </c>
      <c r="V26" s="17" t="str">
        <f t="shared" si="8"/>
        <v/>
      </c>
      <c r="W26" s="18">
        <f t="shared" si="20"/>
        <v>0</v>
      </c>
      <c r="X26" s="18">
        <f t="shared" si="21"/>
        <v>0</v>
      </c>
      <c r="Y26" s="18" t="str">
        <f t="shared" si="22"/>
        <v/>
      </c>
      <c r="Z26" s="19">
        <f>IF(W26=1,MAX(0,MIN(Settings!$B$6,(IFERROR(VLOOKUP(U25,'Bucket Status'!$A$4:$B$75,2,FALSE()),0)-(SUMIF($U$5:$U25,U25,$AK$5:$AK25)+SUMIF($V$5:$V25,U25,$AL$5:$AL25)+SUMIF($Y$5:$Y25,U25,$AA$5:$AA25)+SUMIF($AC$5:$AC25,U25,$AE$5:$AE25))))),IF(AB25&gt;0,AB25,0))</f>
        <v>0</v>
      </c>
      <c r="AA26" s="19">
        <f t="shared" si="9"/>
        <v>0</v>
      </c>
      <c r="AB26" s="19">
        <f t="shared" si="10"/>
        <v>0</v>
      </c>
      <c r="AC26" s="18" t="str">
        <f t="shared" si="23"/>
        <v/>
      </c>
      <c r="AD26" s="19">
        <f>IF(X26=1,MAX(0,MIN(Settings!$B$6-Z26,(IFERROR(VLOOKUP(V25,'Bucket Status'!$A$4:$B$75,2,FALSE()),0)-(SUMIF($U$5:$U25,V25,$AK$5:$AK25)+SUMIF($V$5:$V25,V25,$AL$5:$AL25)+SUMIF($Y$5:$Y25,V25,$AA$5:$AA25)+SUMIF($AC$5:$AC25,V25,$AE$5:$AE25))))),IF(AF25&gt;0,AF25,0))</f>
        <v>0</v>
      </c>
      <c r="AE26" s="19">
        <f t="shared" si="11"/>
        <v>0</v>
      </c>
      <c r="AF26" s="19">
        <f t="shared" si="12"/>
        <v>0</v>
      </c>
      <c r="AG26" s="20">
        <f>IFERROR(IF(C26="Y",Settings!$B$4+Settings!$B$5,0),0)</f>
        <v>0</v>
      </c>
      <c r="AH26" s="21" t="str">
        <f>IFERROR(IF(U26="","",IFERROR(VLOOKUP(U26,'Bucket Status'!$A$4:$B$75,2,FALSE()),0)-(SUMIF($U$5:$U25,U26,$AK$5:$AK25)+SUMIF($V$5:$V25,U26,$AL$5:$AL25)+SUMIF($Y$5:$Y25,U26,$AA$5:$AA25)+SUMIF($AC$5:$AC25,U26,$AE$5:$AE25))),"")</f>
        <v/>
      </c>
      <c r="AI26" s="22" t="str">
        <f>IFERROR(IF(V26="","",IFERROR(VLOOKUP(V26,'Bucket Status'!$A$4:$B$75,2,FALSE()),0)-(SUMIF($U$5:$U25,V26,$AK$5:$AK25)+SUMIF($V$5:$V25,V26,$AL$5:$AL25)+SUMIF($Y$5:$Y25,V26,$AA$5:$AA25)+SUMIF($AC$5:$AC25,V26,$AE$5:$AE25))),"")</f>
        <v/>
      </c>
      <c r="AJ26" s="23" t="str">
        <f t="shared" si="13"/>
        <v/>
      </c>
      <c r="AK26" s="21" t="str">
        <f t="shared" si="14"/>
        <v/>
      </c>
      <c r="AL26" s="22" t="str">
        <f t="shared" si="15"/>
        <v/>
      </c>
    </row>
    <row r="27" spans="1:38" ht="18" customHeight="1" x14ac:dyDescent="0.3">
      <c r="A27" s="3"/>
      <c r="B27" s="50"/>
      <c r="C27" s="4"/>
      <c r="D27" s="5"/>
      <c r="E27" s="5"/>
      <c r="F27" s="6"/>
      <c r="G27" s="6"/>
      <c r="H27" s="7"/>
      <c r="I27" s="8" t="str">
        <f t="shared" si="0"/>
        <v/>
      </c>
      <c r="J27" s="9" t="str">
        <f t="shared" si="1"/>
        <v/>
      </c>
      <c r="K27" s="10" t="str">
        <f t="shared" si="2"/>
        <v/>
      </c>
      <c r="L27" s="11" t="str">
        <f t="shared" si="3"/>
        <v/>
      </c>
      <c r="M27" s="12" t="str">
        <f t="shared" si="4"/>
        <v/>
      </c>
      <c r="N27" s="13" t="str">
        <f t="shared" si="5"/>
        <v/>
      </c>
      <c r="O27" s="14" t="str">
        <f t="shared" si="6"/>
        <v/>
      </c>
      <c r="P27" s="15"/>
      <c r="Q27" s="16" t="str">
        <f t="shared" si="16"/>
        <v/>
      </c>
      <c r="R27" s="16" t="str">
        <f t="shared" si="17"/>
        <v/>
      </c>
      <c r="S27" s="17" t="str">
        <f t="shared" si="18"/>
        <v/>
      </c>
      <c r="T27" s="17" t="str">
        <f t="shared" si="19"/>
        <v/>
      </c>
      <c r="U27" s="16" t="str">
        <f t="shared" si="7"/>
        <v/>
      </c>
      <c r="V27" s="17" t="str">
        <f t="shared" si="8"/>
        <v/>
      </c>
      <c r="W27" s="18">
        <f t="shared" si="20"/>
        <v>0</v>
      </c>
      <c r="X27" s="18">
        <f t="shared" si="21"/>
        <v>0</v>
      </c>
      <c r="Y27" s="18" t="str">
        <f t="shared" si="22"/>
        <v/>
      </c>
      <c r="Z27" s="19">
        <f>IF(W27=1,MAX(0,MIN(Settings!$B$6,(IFERROR(VLOOKUP(U26,'Bucket Status'!$A$4:$B$75,2,FALSE()),0)-(SUMIF($U$5:$U26,U26,$AK$5:$AK26)+SUMIF($V$5:$V26,U26,$AL$5:$AL26)+SUMIF($Y$5:$Y26,U26,$AA$5:$AA26)+SUMIF($AC$5:$AC26,U26,$AE$5:$AE26))))),IF(AB26&gt;0,AB26,0))</f>
        <v>0</v>
      </c>
      <c r="AA27" s="19">
        <f t="shared" si="9"/>
        <v>0</v>
      </c>
      <c r="AB27" s="19">
        <f t="shared" si="10"/>
        <v>0</v>
      </c>
      <c r="AC27" s="18" t="str">
        <f t="shared" si="23"/>
        <v/>
      </c>
      <c r="AD27" s="19">
        <f>IF(X27=1,MAX(0,MIN(Settings!$B$6-Z27,(IFERROR(VLOOKUP(V26,'Bucket Status'!$A$4:$B$75,2,FALSE()),0)-(SUMIF($U$5:$U26,V26,$AK$5:$AK26)+SUMIF($V$5:$V26,V26,$AL$5:$AL26)+SUMIF($Y$5:$Y26,V26,$AA$5:$AA26)+SUMIF($AC$5:$AC26,V26,$AE$5:$AE26))))),IF(AF26&gt;0,AF26,0))</f>
        <v>0</v>
      </c>
      <c r="AE27" s="19">
        <f t="shared" si="11"/>
        <v>0</v>
      </c>
      <c r="AF27" s="19">
        <f t="shared" si="12"/>
        <v>0</v>
      </c>
      <c r="AG27" s="20">
        <f>IFERROR(IF(C27="Y",Settings!$B$4+Settings!$B$5,0),0)</f>
        <v>0</v>
      </c>
      <c r="AH27" s="21" t="str">
        <f>IFERROR(IF(U27="","",IFERROR(VLOOKUP(U27,'Bucket Status'!$A$4:$B$75,2,FALSE()),0)-(SUMIF($U$5:$U26,U27,$AK$5:$AK26)+SUMIF($V$5:$V26,U27,$AL$5:$AL26)+SUMIF($Y$5:$Y26,U27,$AA$5:$AA26)+SUMIF($AC$5:$AC26,U27,$AE$5:$AE26))),"")</f>
        <v/>
      </c>
      <c r="AI27" s="22" t="str">
        <f>IFERROR(IF(V27="","",IFERROR(VLOOKUP(V27,'Bucket Status'!$A$4:$B$75,2,FALSE()),0)-(SUMIF($U$5:$U26,V27,$AK$5:$AK26)+SUMIF($V$5:$V26,V27,$AL$5:$AL26)+SUMIF($Y$5:$Y26,V27,$AA$5:$AA26)+SUMIF($AC$5:$AC26,V27,$AE$5:$AE26))),"")</f>
        <v/>
      </c>
      <c r="AJ27" s="23" t="str">
        <f t="shared" si="13"/>
        <v/>
      </c>
      <c r="AK27" s="21" t="str">
        <f t="shared" si="14"/>
        <v/>
      </c>
      <c r="AL27" s="22" t="str">
        <f t="shared" si="15"/>
        <v/>
      </c>
    </row>
    <row r="28" spans="1:38" ht="18" customHeight="1" x14ac:dyDescent="0.3">
      <c r="A28" s="3"/>
      <c r="B28" s="50"/>
      <c r="C28" s="4"/>
      <c r="D28" s="5"/>
      <c r="E28" s="5"/>
      <c r="F28" s="6"/>
      <c r="G28" s="6"/>
      <c r="H28" s="7"/>
      <c r="I28" s="8" t="str">
        <f t="shared" si="0"/>
        <v/>
      </c>
      <c r="J28" s="9" t="str">
        <f t="shared" si="1"/>
        <v/>
      </c>
      <c r="K28" s="10" t="str">
        <f t="shared" si="2"/>
        <v/>
      </c>
      <c r="L28" s="11" t="str">
        <f t="shared" si="3"/>
        <v/>
      </c>
      <c r="M28" s="12" t="str">
        <f t="shared" si="4"/>
        <v/>
      </c>
      <c r="N28" s="13" t="str">
        <f t="shared" si="5"/>
        <v/>
      </c>
      <c r="O28" s="14" t="str">
        <f t="shared" si="6"/>
        <v/>
      </c>
      <c r="P28" s="15"/>
      <c r="Q28" s="16" t="str">
        <f t="shared" si="16"/>
        <v/>
      </c>
      <c r="R28" s="16" t="str">
        <f t="shared" si="17"/>
        <v/>
      </c>
      <c r="S28" s="17" t="str">
        <f t="shared" si="18"/>
        <v/>
      </c>
      <c r="T28" s="17" t="str">
        <f t="shared" si="19"/>
        <v/>
      </c>
      <c r="U28" s="16" t="str">
        <f t="shared" si="7"/>
        <v/>
      </c>
      <c r="V28" s="17" t="str">
        <f t="shared" si="8"/>
        <v/>
      </c>
      <c r="W28" s="18">
        <f t="shared" si="20"/>
        <v>0</v>
      </c>
      <c r="X28" s="18">
        <f t="shared" si="21"/>
        <v>0</v>
      </c>
      <c r="Y28" s="18" t="str">
        <f t="shared" si="22"/>
        <v/>
      </c>
      <c r="Z28" s="19">
        <f>IF(W28=1,MAX(0,MIN(Settings!$B$6,(IFERROR(VLOOKUP(U27,'Bucket Status'!$A$4:$B$75,2,FALSE()),0)-(SUMIF($U$5:$U27,U27,$AK$5:$AK27)+SUMIF($V$5:$V27,U27,$AL$5:$AL27)+SUMIF($Y$5:$Y27,U27,$AA$5:$AA27)+SUMIF($AC$5:$AC27,U27,$AE$5:$AE27))))),IF(AB27&gt;0,AB27,0))</f>
        <v>0</v>
      </c>
      <c r="AA28" s="19">
        <f t="shared" si="9"/>
        <v>0</v>
      </c>
      <c r="AB28" s="19">
        <f t="shared" si="10"/>
        <v>0</v>
      </c>
      <c r="AC28" s="18" t="str">
        <f t="shared" si="23"/>
        <v/>
      </c>
      <c r="AD28" s="19">
        <f>IF(X28=1,MAX(0,MIN(Settings!$B$6-Z28,(IFERROR(VLOOKUP(V27,'Bucket Status'!$A$4:$B$75,2,FALSE()),0)-(SUMIF($U$5:$U27,V27,$AK$5:$AK27)+SUMIF($V$5:$V27,V27,$AL$5:$AL27)+SUMIF($Y$5:$Y27,V27,$AA$5:$AA27)+SUMIF($AC$5:$AC27,V27,$AE$5:$AE27))))),IF(AF27&gt;0,AF27,0))</f>
        <v>0</v>
      </c>
      <c r="AE28" s="19">
        <f t="shared" si="11"/>
        <v>0</v>
      </c>
      <c r="AF28" s="19">
        <f t="shared" si="12"/>
        <v>0</v>
      </c>
      <c r="AG28" s="20">
        <f>IFERROR(IF(C28="Y",Settings!$B$4+Settings!$B$5,0),0)</f>
        <v>0</v>
      </c>
      <c r="AH28" s="21" t="str">
        <f>IFERROR(IF(U28="","",IFERROR(VLOOKUP(U28,'Bucket Status'!$A$4:$B$75,2,FALSE()),0)-(SUMIF($U$5:$U27,U28,$AK$5:$AK27)+SUMIF($V$5:$V27,U28,$AL$5:$AL27)+SUMIF($Y$5:$Y27,U28,$AA$5:$AA27)+SUMIF($AC$5:$AC27,U28,$AE$5:$AE27))),"")</f>
        <v/>
      </c>
      <c r="AI28" s="22" t="str">
        <f>IFERROR(IF(V28="","",IFERROR(VLOOKUP(V28,'Bucket Status'!$A$4:$B$75,2,FALSE()),0)-(SUMIF($U$5:$U27,V28,$AK$5:$AK27)+SUMIF($V$5:$V27,V28,$AL$5:$AL27)+SUMIF($Y$5:$Y27,V28,$AA$5:$AA27)+SUMIF($AC$5:$AC27,V28,$AE$5:$AE27))),"")</f>
        <v/>
      </c>
      <c r="AJ28" s="23" t="str">
        <f t="shared" si="13"/>
        <v/>
      </c>
      <c r="AK28" s="21" t="str">
        <f t="shared" si="14"/>
        <v/>
      </c>
      <c r="AL28" s="22" t="str">
        <f t="shared" si="15"/>
        <v/>
      </c>
    </row>
    <row r="29" spans="1:38" ht="18" customHeight="1" x14ac:dyDescent="0.3">
      <c r="A29" s="3"/>
      <c r="B29" s="50"/>
      <c r="C29" s="4"/>
      <c r="D29" s="5"/>
      <c r="E29" s="5"/>
      <c r="F29" s="6"/>
      <c r="G29" s="6"/>
      <c r="H29" s="7"/>
      <c r="I29" s="8" t="str">
        <f t="shared" si="0"/>
        <v/>
      </c>
      <c r="J29" s="9" t="str">
        <f t="shared" si="1"/>
        <v/>
      </c>
      <c r="K29" s="10" t="str">
        <f t="shared" si="2"/>
        <v/>
      </c>
      <c r="L29" s="11" t="str">
        <f t="shared" si="3"/>
        <v/>
      </c>
      <c r="M29" s="12" t="str">
        <f t="shared" si="4"/>
        <v/>
      </c>
      <c r="N29" s="13" t="str">
        <f t="shared" si="5"/>
        <v/>
      </c>
      <c r="O29" s="14" t="str">
        <f t="shared" si="6"/>
        <v/>
      </c>
      <c r="P29" s="15"/>
      <c r="Q29" s="16" t="str">
        <f t="shared" si="16"/>
        <v/>
      </c>
      <c r="R29" s="16" t="str">
        <f t="shared" si="17"/>
        <v/>
      </c>
      <c r="S29" s="17" t="str">
        <f t="shared" si="18"/>
        <v/>
      </c>
      <c r="T29" s="17" t="str">
        <f t="shared" si="19"/>
        <v/>
      </c>
      <c r="U29" s="16" t="str">
        <f t="shared" si="7"/>
        <v/>
      </c>
      <c r="V29" s="17" t="str">
        <f t="shared" si="8"/>
        <v/>
      </c>
      <c r="W29" s="18">
        <f t="shared" si="20"/>
        <v>0</v>
      </c>
      <c r="X29" s="18">
        <f t="shared" si="21"/>
        <v>0</v>
      </c>
      <c r="Y29" s="18" t="str">
        <f t="shared" si="22"/>
        <v/>
      </c>
      <c r="Z29" s="19">
        <f>IF(W29=1,MAX(0,MIN(Settings!$B$6,(IFERROR(VLOOKUP(U28,'Bucket Status'!$A$4:$B$75,2,FALSE()),0)-(SUMIF($U$5:$U28,U28,$AK$5:$AK28)+SUMIF($V$5:$V28,U28,$AL$5:$AL28)+SUMIF($Y$5:$Y28,U28,$AA$5:$AA28)+SUMIF($AC$5:$AC28,U28,$AE$5:$AE28))))),IF(AB28&gt;0,AB28,0))</f>
        <v>0</v>
      </c>
      <c r="AA29" s="19">
        <f t="shared" si="9"/>
        <v>0</v>
      </c>
      <c r="AB29" s="19">
        <f t="shared" si="10"/>
        <v>0</v>
      </c>
      <c r="AC29" s="18" t="str">
        <f t="shared" si="23"/>
        <v/>
      </c>
      <c r="AD29" s="19">
        <f>IF(X29=1,MAX(0,MIN(Settings!$B$6-Z29,(IFERROR(VLOOKUP(V28,'Bucket Status'!$A$4:$B$75,2,FALSE()),0)-(SUMIF($U$5:$U28,V28,$AK$5:$AK28)+SUMIF($V$5:$V28,V28,$AL$5:$AL28)+SUMIF($Y$5:$Y28,V28,$AA$5:$AA28)+SUMIF($AC$5:$AC28,V28,$AE$5:$AE28))))),IF(AF28&gt;0,AF28,0))</f>
        <v>0</v>
      </c>
      <c r="AE29" s="19">
        <f t="shared" si="11"/>
        <v>0</v>
      </c>
      <c r="AF29" s="19">
        <f t="shared" si="12"/>
        <v>0</v>
      </c>
      <c r="AG29" s="20">
        <f>IFERROR(IF(C29="Y",Settings!$B$4+Settings!$B$5,0),0)</f>
        <v>0</v>
      </c>
      <c r="AH29" s="21" t="str">
        <f>IFERROR(IF(U29="","",IFERROR(VLOOKUP(U29,'Bucket Status'!$A$4:$B$75,2,FALSE()),0)-(SUMIF($U$5:$U28,U29,$AK$5:$AK28)+SUMIF($V$5:$V28,U29,$AL$5:$AL28)+SUMIF($Y$5:$Y28,U29,$AA$5:$AA28)+SUMIF($AC$5:$AC28,U29,$AE$5:$AE28))),"")</f>
        <v/>
      </c>
      <c r="AI29" s="22" t="str">
        <f>IFERROR(IF(V29="","",IFERROR(VLOOKUP(V29,'Bucket Status'!$A$4:$B$75,2,FALSE()),0)-(SUMIF($U$5:$U28,V29,$AK$5:$AK28)+SUMIF($V$5:$V28,V29,$AL$5:$AL28)+SUMIF($Y$5:$Y28,V29,$AA$5:$AA28)+SUMIF($AC$5:$AC28,V29,$AE$5:$AE28))),"")</f>
        <v/>
      </c>
      <c r="AJ29" s="23" t="str">
        <f t="shared" si="13"/>
        <v/>
      </c>
      <c r="AK29" s="21" t="str">
        <f t="shared" si="14"/>
        <v/>
      </c>
      <c r="AL29" s="22" t="str">
        <f t="shared" si="15"/>
        <v/>
      </c>
    </row>
    <row r="30" spans="1:38" ht="18" customHeight="1" x14ac:dyDescent="0.3">
      <c r="A30" s="3"/>
      <c r="B30" s="50"/>
      <c r="C30" s="4"/>
      <c r="D30" s="5"/>
      <c r="E30" s="5"/>
      <c r="F30" s="6"/>
      <c r="G30" s="6"/>
      <c r="H30" s="7"/>
      <c r="I30" s="8" t="str">
        <f t="shared" si="0"/>
        <v/>
      </c>
      <c r="J30" s="9" t="str">
        <f t="shared" si="1"/>
        <v/>
      </c>
      <c r="K30" s="10" t="str">
        <f t="shared" si="2"/>
        <v/>
      </c>
      <c r="L30" s="11" t="str">
        <f t="shared" si="3"/>
        <v/>
      </c>
      <c r="M30" s="12" t="str">
        <f t="shared" si="4"/>
        <v/>
      </c>
      <c r="N30" s="13" t="str">
        <f t="shared" si="5"/>
        <v/>
      </c>
      <c r="O30" s="14" t="str">
        <f t="shared" si="6"/>
        <v/>
      </c>
      <c r="P30" s="15"/>
      <c r="Q30" s="16" t="str">
        <f t="shared" si="16"/>
        <v/>
      </c>
      <c r="R30" s="16" t="str">
        <f t="shared" si="17"/>
        <v/>
      </c>
      <c r="S30" s="17" t="str">
        <f t="shared" si="18"/>
        <v/>
      </c>
      <c r="T30" s="17" t="str">
        <f t="shared" si="19"/>
        <v/>
      </c>
      <c r="U30" s="16" t="str">
        <f t="shared" si="7"/>
        <v/>
      </c>
      <c r="V30" s="17" t="str">
        <f t="shared" si="8"/>
        <v/>
      </c>
      <c r="W30" s="18">
        <f t="shared" si="20"/>
        <v>0</v>
      </c>
      <c r="X30" s="18">
        <f t="shared" si="21"/>
        <v>0</v>
      </c>
      <c r="Y30" s="18" t="str">
        <f t="shared" si="22"/>
        <v/>
      </c>
      <c r="Z30" s="19">
        <f>IF(W30=1,MAX(0,MIN(Settings!$B$6,(IFERROR(VLOOKUP(U29,'Bucket Status'!$A$4:$B$75,2,FALSE()),0)-(SUMIF($U$5:$U29,U29,$AK$5:$AK29)+SUMIF($V$5:$V29,U29,$AL$5:$AL29)+SUMIF($Y$5:$Y29,U29,$AA$5:$AA29)+SUMIF($AC$5:$AC29,U29,$AE$5:$AE29))))),IF(AB29&gt;0,AB29,0))</f>
        <v>0</v>
      </c>
      <c r="AA30" s="19">
        <f t="shared" si="9"/>
        <v>0</v>
      </c>
      <c r="AB30" s="19">
        <f t="shared" si="10"/>
        <v>0</v>
      </c>
      <c r="AC30" s="18" t="str">
        <f t="shared" si="23"/>
        <v/>
      </c>
      <c r="AD30" s="19">
        <f>IF(X30=1,MAX(0,MIN(Settings!$B$6-Z30,(IFERROR(VLOOKUP(V29,'Bucket Status'!$A$4:$B$75,2,FALSE()),0)-(SUMIF($U$5:$U29,V29,$AK$5:$AK29)+SUMIF($V$5:$V29,V29,$AL$5:$AL29)+SUMIF($Y$5:$Y29,V29,$AA$5:$AA29)+SUMIF($AC$5:$AC29,V29,$AE$5:$AE29))))),IF(AF29&gt;0,AF29,0))</f>
        <v>0</v>
      </c>
      <c r="AE30" s="19">
        <f t="shared" si="11"/>
        <v>0</v>
      </c>
      <c r="AF30" s="19">
        <f t="shared" si="12"/>
        <v>0</v>
      </c>
      <c r="AG30" s="20">
        <f>IFERROR(IF(C30="Y",Settings!$B$4+Settings!$B$5,0),0)</f>
        <v>0</v>
      </c>
      <c r="AH30" s="21" t="str">
        <f>IFERROR(IF(U30="","",IFERROR(VLOOKUP(U30,'Bucket Status'!$A$4:$B$75,2,FALSE()),0)-(SUMIF($U$5:$U29,U30,$AK$5:$AK29)+SUMIF($V$5:$V29,U30,$AL$5:$AL29)+SUMIF($Y$5:$Y29,U30,$AA$5:$AA29)+SUMIF($AC$5:$AC29,U30,$AE$5:$AE29))),"")</f>
        <v/>
      </c>
      <c r="AI30" s="22" t="str">
        <f>IFERROR(IF(V30="","",IFERROR(VLOOKUP(V30,'Bucket Status'!$A$4:$B$75,2,FALSE()),0)-(SUMIF($U$5:$U29,V30,$AK$5:$AK29)+SUMIF($V$5:$V29,V30,$AL$5:$AL29)+SUMIF($Y$5:$Y29,V30,$AA$5:$AA29)+SUMIF($AC$5:$AC29,V30,$AE$5:$AE29))),"")</f>
        <v/>
      </c>
      <c r="AJ30" s="23" t="str">
        <f t="shared" si="13"/>
        <v/>
      </c>
      <c r="AK30" s="21" t="str">
        <f t="shared" si="14"/>
        <v/>
      </c>
      <c r="AL30" s="22" t="str">
        <f t="shared" si="15"/>
        <v/>
      </c>
    </row>
    <row r="31" spans="1:38" ht="18" customHeight="1" x14ac:dyDescent="0.3">
      <c r="A31" s="3"/>
      <c r="B31" s="50"/>
      <c r="C31" s="4"/>
      <c r="D31" s="5"/>
      <c r="E31" s="5"/>
      <c r="F31" s="6"/>
      <c r="G31" s="6"/>
      <c r="H31" s="7"/>
      <c r="I31" s="8" t="str">
        <f t="shared" si="0"/>
        <v/>
      </c>
      <c r="J31" s="9" t="str">
        <f t="shared" si="1"/>
        <v/>
      </c>
      <c r="K31" s="10" t="str">
        <f t="shared" si="2"/>
        <v/>
      </c>
      <c r="L31" s="11" t="str">
        <f t="shared" si="3"/>
        <v/>
      </c>
      <c r="M31" s="12" t="str">
        <f t="shared" si="4"/>
        <v/>
      </c>
      <c r="N31" s="13" t="str">
        <f t="shared" si="5"/>
        <v/>
      </c>
      <c r="O31" s="14" t="str">
        <f t="shared" si="6"/>
        <v/>
      </c>
      <c r="P31" s="15"/>
      <c r="Q31" s="16" t="str">
        <f t="shared" si="16"/>
        <v/>
      </c>
      <c r="R31" s="16" t="str">
        <f t="shared" si="17"/>
        <v/>
      </c>
      <c r="S31" s="17" t="str">
        <f t="shared" si="18"/>
        <v/>
      </c>
      <c r="T31" s="17" t="str">
        <f t="shared" si="19"/>
        <v/>
      </c>
      <c r="U31" s="16" t="str">
        <f t="shared" si="7"/>
        <v/>
      </c>
      <c r="V31" s="17" t="str">
        <f t="shared" si="8"/>
        <v/>
      </c>
      <c r="W31" s="18">
        <f t="shared" si="20"/>
        <v>0</v>
      </c>
      <c r="X31" s="18">
        <f t="shared" si="21"/>
        <v>0</v>
      </c>
      <c r="Y31" s="18" t="str">
        <f t="shared" si="22"/>
        <v/>
      </c>
      <c r="Z31" s="19">
        <f>IF(W31=1,MAX(0,MIN(Settings!$B$6,(IFERROR(VLOOKUP(U30,'Bucket Status'!$A$4:$B$75,2,FALSE()),0)-(SUMIF($U$5:$U30,U30,$AK$5:$AK30)+SUMIF($V$5:$V30,U30,$AL$5:$AL30)+SUMIF($Y$5:$Y30,U30,$AA$5:$AA30)+SUMIF($AC$5:$AC30,U30,$AE$5:$AE30))))),IF(AB30&gt;0,AB30,0))</f>
        <v>0</v>
      </c>
      <c r="AA31" s="19">
        <f t="shared" si="9"/>
        <v>0</v>
      </c>
      <c r="AB31" s="19">
        <f t="shared" si="10"/>
        <v>0</v>
      </c>
      <c r="AC31" s="18" t="str">
        <f t="shared" si="23"/>
        <v/>
      </c>
      <c r="AD31" s="19">
        <f>IF(X31=1,MAX(0,MIN(Settings!$B$6-Z31,(IFERROR(VLOOKUP(V30,'Bucket Status'!$A$4:$B$75,2,FALSE()),0)-(SUMIF($U$5:$U30,V30,$AK$5:$AK30)+SUMIF($V$5:$V30,V30,$AL$5:$AL30)+SUMIF($Y$5:$Y30,V30,$AA$5:$AA30)+SUMIF($AC$5:$AC30,V30,$AE$5:$AE30))))),IF(AF30&gt;0,AF30,0))</f>
        <v>0</v>
      </c>
      <c r="AE31" s="19">
        <f t="shared" si="11"/>
        <v>0</v>
      </c>
      <c r="AF31" s="19">
        <f t="shared" si="12"/>
        <v>0</v>
      </c>
      <c r="AG31" s="20">
        <f>IFERROR(IF(C31="Y",Settings!$B$4+Settings!$B$5,0),0)</f>
        <v>0</v>
      </c>
      <c r="AH31" s="21" t="str">
        <f>IFERROR(IF(U31="","",IFERROR(VLOOKUP(U31,'Bucket Status'!$A$4:$B$75,2,FALSE()),0)-(SUMIF($U$5:$U30,U31,$AK$5:$AK30)+SUMIF($V$5:$V30,U31,$AL$5:$AL30)+SUMIF($Y$5:$Y30,U31,$AA$5:$AA30)+SUMIF($AC$5:$AC30,U31,$AE$5:$AE30))),"")</f>
        <v/>
      </c>
      <c r="AI31" s="22" t="str">
        <f>IFERROR(IF(V31="","",IFERROR(VLOOKUP(V31,'Bucket Status'!$A$4:$B$75,2,FALSE()),0)-(SUMIF($U$5:$U30,V31,$AK$5:$AK30)+SUMIF($V$5:$V30,V31,$AL$5:$AL30)+SUMIF($Y$5:$Y30,V31,$AA$5:$AA30)+SUMIF($AC$5:$AC30,V31,$AE$5:$AE30))),"")</f>
        <v/>
      </c>
      <c r="AJ31" s="23" t="str">
        <f t="shared" si="13"/>
        <v/>
      </c>
      <c r="AK31" s="21" t="str">
        <f t="shared" si="14"/>
        <v/>
      </c>
      <c r="AL31" s="22" t="str">
        <f t="shared" si="15"/>
        <v/>
      </c>
    </row>
    <row r="32" spans="1:38" ht="18" customHeight="1" x14ac:dyDescent="0.3">
      <c r="A32" s="3"/>
      <c r="B32" s="50"/>
      <c r="C32" s="4"/>
      <c r="D32" s="5"/>
      <c r="E32" s="5"/>
      <c r="F32" s="6"/>
      <c r="G32" s="6"/>
      <c r="H32" s="7"/>
      <c r="I32" s="8" t="str">
        <f t="shared" si="0"/>
        <v/>
      </c>
      <c r="J32" s="9" t="str">
        <f t="shared" si="1"/>
        <v/>
      </c>
      <c r="K32" s="10" t="str">
        <f t="shared" si="2"/>
        <v/>
      </c>
      <c r="L32" s="11" t="str">
        <f t="shared" si="3"/>
        <v/>
      </c>
      <c r="M32" s="12" t="str">
        <f t="shared" si="4"/>
        <v/>
      </c>
      <c r="N32" s="13" t="str">
        <f t="shared" si="5"/>
        <v/>
      </c>
      <c r="O32" s="14" t="str">
        <f t="shared" si="6"/>
        <v/>
      </c>
      <c r="P32" s="15"/>
      <c r="Q32" s="16" t="str">
        <f t="shared" si="16"/>
        <v/>
      </c>
      <c r="R32" s="16" t="str">
        <f t="shared" si="17"/>
        <v/>
      </c>
      <c r="S32" s="17" t="str">
        <f t="shared" si="18"/>
        <v/>
      </c>
      <c r="T32" s="17" t="str">
        <f t="shared" si="19"/>
        <v/>
      </c>
      <c r="U32" s="16" t="str">
        <f t="shared" si="7"/>
        <v/>
      </c>
      <c r="V32" s="17" t="str">
        <f t="shared" si="8"/>
        <v/>
      </c>
      <c r="W32" s="18">
        <f t="shared" si="20"/>
        <v>0</v>
      </c>
      <c r="X32" s="18">
        <f t="shared" si="21"/>
        <v>0</v>
      </c>
      <c r="Y32" s="18" t="str">
        <f t="shared" si="22"/>
        <v/>
      </c>
      <c r="Z32" s="19">
        <f>IF(W32=1,MAX(0,MIN(Settings!$B$6,(IFERROR(VLOOKUP(U31,'Bucket Status'!$A$4:$B$75,2,FALSE()),0)-(SUMIF($U$5:$U31,U31,$AK$5:$AK31)+SUMIF($V$5:$V31,U31,$AL$5:$AL31)+SUMIF($Y$5:$Y31,U31,$AA$5:$AA31)+SUMIF($AC$5:$AC31,U31,$AE$5:$AE31))))),IF(AB31&gt;0,AB31,0))</f>
        <v>0</v>
      </c>
      <c r="AA32" s="19">
        <f t="shared" si="9"/>
        <v>0</v>
      </c>
      <c r="AB32" s="19">
        <f t="shared" si="10"/>
        <v>0</v>
      </c>
      <c r="AC32" s="18" t="str">
        <f t="shared" si="23"/>
        <v/>
      </c>
      <c r="AD32" s="19">
        <f>IF(X32=1,MAX(0,MIN(Settings!$B$6-Z32,(IFERROR(VLOOKUP(V31,'Bucket Status'!$A$4:$B$75,2,FALSE()),0)-(SUMIF($U$5:$U31,V31,$AK$5:$AK31)+SUMIF($V$5:$V31,V31,$AL$5:$AL31)+SUMIF($Y$5:$Y31,V31,$AA$5:$AA31)+SUMIF($AC$5:$AC31,V31,$AE$5:$AE31))))),IF(AF31&gt;0,AF31,0))</f>
        <v>0</v>
      </c>
      <c r="AE32" s="19">
        <f t="shared" si="11"/>
        <v>0</v>
      </c>
      <c r="AF32" s="19">
        <f t="shared" si="12"/>
        <v>0</v>
      </c>
      <c r="AG32" s="20">
        <f>IFERROR(IF(C32="Y",Settings!$B$4+Settings!$B$5,0),0)</f>
        <v>0</v>
      </c>
      <c r="AH32" s="21" t="str">
        <f>IFERROR(IF(U32="","",IFERROR(VLOOKUP(U32,'Bucket Status'!$A$4:$B$75,2,FALSE()),0)-(SUMIF($U$5:$U31,U32,$AK$5:$AK31)+SUMIF($V$5:$V31,U32,$AL$5:$AL31)+SUMIF($Y$5:$Y31,U32,$AA$5:$AA31)+SUMIF($AC$5:$AC31,U32,$AE$5:$AE31))),"")</f>
        <v/>
      </c>
      <c r="AI32" s="22" t="str">
        <f>IFERROR(IF(V32="","",IFERROR(VLOOKUP(V32,'Bucket Status'!$A$4:$B$75,2,FALSE()),0)-(SUMIF($U$5:$U31,V32,$AK$5:$AK31)+SUMIF($V$5:$V31,V32,$AL$5:$AL31)+SUMIF($Y$5:$Y31,V32,$AA$5:$AA31)+SUMIF($AC$5:$AC31,V32,$AE$5:$AE31))),"")</f>
        <v/>
      </c>
      <c r="AJ32" s="23" t="str">
        <f t="shared" si="13"/>
        <v/>
      </c>
      <c r="AK32" s="21" t="str">
        <f t="shared" si="14"/>
        <v/>
      </c>
      <c r="AL32" s="22" t="str">
        <f t="shared" si="15"/>
        <v/>
      </c>
    </row>
    <row r="33" spans="1:38" ht="18" customHeight="1" x14ac:dyDescent="0.3">
      <c r="A33" s="3"/>
      <c r="B33" s="50"/>
      <c r="C33" s="4"/>
      <c r="D33" s="5"/>
      <c r="E33" s="5"/>
      <c r="F33" s="6"/>
      <c r="G33" s="6"/>
      <c r="H33" s="7"/>
      <c r="I33" s="8" t="str">
        <f t="shared" si="0"/>
        <v/>
      </c>
      <c r="J33" s="9" t="str">
        <f t="shared" si="1"/>
        <v/>
      </c>
      <c r="K33" s="10" t="str">
        <f t="shared" si="2"/>
        <v/>
      </c>
      <c r="L33" s="11" t="str">
        <f t="shared" si="3"/>
        <v/>
      </c>
      <c r="M33" s="12" t="str">
        <f t="shared" si="4"/>
        <v/>
      </c>
      <c r="N33" s="13" t="str">
        <f t="shared" si="5"/>
        <v/>
      </c>
      <c r="O33" s="14" t="str">
        <f t="shared" si="6"/>
        <v/>
      </c>
      <c r="P33" s="15"/>
      <c r="Q33" s="16" t="str">
        <f t="shared" si="16"/>
        <v/>
      </c>
      <c r="R33" s="16" t="str">
        <f t="shared" si="17"/>
        <v/>
      </c>
      <c r="S33" s="17" t="str">
        <f t="shared" si="18"/>
        <v/>
      </c>
      <c r="T33" s="17" t="str">
        <f t="shared" si="19"/>
        <v/>
      </c>
      <c r="U33" s="16" t="str">
        <f t="shared" si="7"/>
        <v/>
      </c>
      <c r="V33" s="17" t="str">
        <f t="shared" si="8"/>
        <v/>
      </c>
      <c r="W33" s="18">
        <f t="shared" si="20"/>
        <v>0</v>
      </c>
      <c r="X33" s="18">
        <f t="shared" si="21"/>
        <v>0</v>
      </c>
      <c r="Y33" s="18" t="str">
        <f t="shared" si="22"/>
        <v/>
      </c>
      <c r="Z33" s="19">
        <f>IF(W33=1,MAX(0,MIN(Settings!$B$6,(IFERROR(VLOOKUP(U32,'Bucket Status'!$A$4:$B$75,2,FALSE()),0)-(SUMIF($U$5:$U32,U32,$AK$5:$AK32)+SUMIF($V$5:$V32,U32,$AL$5:$AL32)+SUMIF($Y$5:$Y32,U32,$AA$5:$AA32)+SUMIF($AC$5:$AC32,U32,$AE$5:$AE32))))),IF(AB32&gt;0,AB32,0))</f>
        <v>0</v>
      </c>
      <c r="AA33" s="19">
        <f t="shared" si="9"/>
        <v>0</v>
      </c>
      <c r="AB33" s="19">
        <f t="shared" si="10"/>
        <v>0</v>
      </c>
      <c r="AC33" s="18" t="str">
        <f t="shared" si="23"/>
        <v/>
      </c>
      <c r="AD33" s="19">
        <f>IF(X33=1,MAX(0,MIN(Settings!$B$6-Z33,(IFERROR(VLOOKUP(V32,'Bucket Status'!$A$4:$B$75,2,FALSE()),0)-(SUMIF($U$5:$U32,V32,$AK$5:$AK32)+SUMIF($V$5:$V32,V32,$AL$5:$AL32)+SUMIF($Y$5:$Y32,V32,$AA$5:$AA32)+SUMIF($AC$5:$AC32,V32,$AE$5:$AE32))))),IF(AF32&gt;0,AF32,0))</f>
        <v>0</v>
      </c>
      <c r="AE33" s="19">
        <f t="shared" si="11"/>
        <v>0</v>
      </c>
      <c r="AF33" s="19">
        <f t="shared" si="12"/>
        <v>0</v>
      </c>
      <c r="AG33" s="20">
        <f>IFERROR(IF(C33="Y",Settings!$B$4+Settings!$B$5,0),0)</f>
        <v>0</v>
      </c>
      <c r="AH33" s="21" t="str">
        <f>IFERROR(IF(U33="","",IFERROR(VLOOKUP(U33,'Bucket Status'!$A$4:$B$75,2,FALSE()),0)-(SUMIF($U$5:$U32,U33,$AK$5:$AK32)+SUMIF($V$5:$V32,U33,$AL$5:$AL32)+SUMIF($Y$5:$Y32,U33,$AA$5:$AA32)+SUMIF($AC$5:$AC32,U33,$AE$5:$AE32))),"")</f>
        <v/>
      </c>
      <c r="AI33" s="22" t="str">
        <f>IFERROR(IF(V33="","",IFERROR(VLOOKUP(V33,'Bucket Status'!$A$4:$B$75,2,FALSE()),0)-(SUMIF($U$5:$U32,V33,$AK$5:$AK32)+SUMIF($V$5:$V32,V33,$AL$5:$AL32)+SUMIF($Y$5:$Y32,V33,$AA$5:$AA32)+SUMIF($AC$5:$AC32,V33,$AE$5:$AE32))),"")</f>
        <v/>
      </c>
      <c r="AJ33" s="23" t="str">
        <f t="shared" si="13"/>
        <v/>
      </c>
      <c r="AK33" s="21" t="str">
        <f t="shared" si="14"/>
        <v/>
      </c>
      <c r="AL33" s="22" t="str">
        <f t="shared" si="15"/>
        <v/>
      </c>
    </row>
    <row r="34" spans="1:38" ht="18" customHeight="1" x14ac:dyDescent="0.3">
      <c r="A34" s="3"/>
      <c r="B34" s="50"/>
      <c r="C34" s="4"/>
      <c r="D34" s="5"/>
      <c r="E34" s="5"/>
      <c r="F34" s="6"/>
      <c r="G34" s="6"/>
      <c r="H34" s="7"/>
      <c r="I34" s="8" t="str">
        <f t="shared" si="0"/>
        <v/>
      </c>
      <c r="J34" s="9" t="str">
        <f t="shared" si="1"/>
        <v/>
      </c>
      <c r="K34" s="10" t="str">
        <f t="shared" si="2"/>
        <v/>
      </c>
      <c r="L34" s="11" t="str">
        <f t="shared" si="3"/>
        <v/>
      </c>
      <c r="M34" s="12" t="str">
        <f t="shared" si="4"/>
        <v/>
      </c>
      <c r="N34" s="13" t="str">
        <f t="shared" si="5"/>
        <v/>
      </c>
      <c r="O34" s="14" t="str">
        <f t="shared" si="6"/>
        <v/>
      </c>
      <c r="P34" s="15"/>
      <c r="Q34" s="16" t="str">
        <f t="shared" si="16"/>
        <v/>
      </c>
      <c r="R34" s="16" t="str">
        <f t="shared" si="17"/>
        <v/>
      </c>
      <c r="S34" s="17" t="str">
        <f t="shared" si="18"/>
        <v/>
      </c>
      <c r="T34" s="17" t="str">
        <f t="shared" si="19"/>
        <v/>
      </c>
      <c r="U34" s="16" t="str">
        <f t="shared" si="7"/>
        <v/>
      </c>
      <c r="V34" s="17" t="str">
        <f t="shared" si="8"/>
        <v/>
      </c>
      <c r="W34" s="18">
        <f t="shared" si="20"/>
        <v>0</v>
      </c>
      <c r="X34" s="18">
        <f t="shared" si="21"/>
        <v>0</v>
      </c>
      <c r="Y34" s="18" t="str">
        <f t="shared" si="22"/>
        <v/>
      </c>
      <c r="Z34" s="19">
        <f>IF(W34=1,MAX(0,MIN(Settings!$B$6,(IFERROR(VLOOKUP(U33,'Bucket Status'!$A$4:$B$75,2,FALSE()),0)-(SUMIF($U$5:$U33,U33,$AK$5:$AK33)+SUMIF($V$5:$V33,U33,$AL$5:$AL33)+SUMIF($Y$5:$Y33,U33,$AA$5:$AA33)+SUMIF($AC$5:$AC33,U33,$AE$5:$AE33))))),IF(AB33&gt;0,AB33,0))</f>
        <v>0</v>
      </c>
      <c r="AA34" s="19">
        <f t="shared" si="9"/>
        <v>0</v>
      </c>
      <c r="AB34" s="19">
        <f t="shared" si="10"/>
        <v>0</v>
      </c>
      <c r="AC34" s="18" t="str">
        <f t="shared" si="23"/>
        <v/>
      </c>
      <c r="AD34" s="19">
        <f>IF(X34=1,MAX(0,MIN(Settings!$B$6-Z34,(IFERROR(VLOOKUP(V33,'Bucket Status'!$A$4:$B$75,2,FALSE()),0)-(SUMIF($U$5:$U33,V33,$AK$5:$AK33)+SUMIF($V$5:$V33,V33,$AL$5:$AL33)+SUMIF($Y$5:$Y33,V33,$AA$5:$AA33)+SUMIF($AC$5:$AC33,V33,$AE$5:$AE33))))),IF(AF33&gt;0,AF33,0))</f>
        <v>0</v>
      </c>
      <c r="AE34" s="19">
        <f t="shared" si="11"/>
        <v>0</v>
      </c>
      <c r="AF34" s="19">
        <f t="shared" si="12"/>
        <v>0</v>
      </c>
      <c r="AG34" s="20">
        <f>IFERROR(IF(C34="Y",Settings!$B$4+Settings!$B$5,0),0)</f>
        <v>0</v>
      </c>
      <c r="AH34" s="21" t="str">
        <f>IFERROR(IF(U34="","",IFERROR(VLOOKUP(U34,'Bucket Status'!$A$4:$B$75,2,FALSE()),0)-(SUMIF($U$5:$U33,U34,$AK$5:$AK33)+SUMIF($V$5:$V33,U34,$AL$5:$AL33)+SUMIF($Y$5:$Y33,U34,$AA$5:$AA33)+SUMIF($AC$5:$AC33,U34,$AE$5:$AE33))),"")</f>
        <v/>
      </c>
      <c r="AI34" s="22" t="str">
        <f>IFERROR(IF(V34="","",IFERROR(VLOOKUP(V34,'Bucket Status'!$A$4:$B$75,2,FALSE()),0)-(SUMIF($U$5:$U33,V34,$AK$5:$AK33)+SUMIF($V$5:$V33,V34,$AL$5:$AL33)+SUMIF($Y$5:$Y33,V34,$AA$5:$AA33)+SUMIF($AC$5:$AC33,V34,$AE$5:$AE33))),"")</f>
        <v/>
      </c>
      <c r="AJ34" s="23" t="str">
        <f t="shared" si="13"/>
        <v/>
      </c>
      <c r="AK34" s="21" t="str">
        <f t="shared" si="14"/>
        <v/>
      </c>
      <c r="AL34" s="22" t="str">
        <f t="shared" si="15"/>
        <v/>
      </c>
    </row>
    <row r="35" spans="1:38" ht="18" customHeight="1" x14ac:dyDescent="0.3">
      <c r="A35" s="3"/>
      <c r="B35" s="50"/>
      <c r="C35" s="4"/>
      <c r="D35" s="5"/>
      <c r="E35" s="5"/>
      <c r="F35" s="6"/>
      <c r="G35" s="6"/>
      <c r="H35" s="7"/>
      <c r="I35" s="8" t="str">
        <f t="shared" si="0"/>
        <v/>
      </c>
      <c r="J35" s="9" t="str">
        <f t="shared" si="1"/>
        <v/>
      </c>
      <c r="K35" s="10" t="str">
        <f t="shared" si="2"/>
        <v/>
      </c>
      <c r="L35" s="11" t="str">
        <f t="shared" si="3"/>
        <v/>
      </c>
      <c r="M35" s="12" t="str">
        <f t="shared" si="4"/>
        <v/>
      </c>
      <c r="N35" s="13" t="str">
        <f t="shared" si="5"/>
        <v/>
      </c>
      <c r="O35" s="14" t="str">
        <f t="shared" si="6"/>
        <v/>
      </c>
      <c r="P35" s="15"/>
      <c r="Q35" s="16" t="str">
        <f t="shared" si="16"/>
        <v/>
      </c>
      <c r="R35" s="16" t="str">
        <f t="shared" si="17"/>
        <v/>
      </c>
      <c r="S35" s="17" t="str">
        <f t="shared" si="18"/>
        <v/>
      </c>
      <c r="T35" s="17" t="str">
        <f t="shared" si="19"/>
        <v/>
      </c>
      <c r="U35" s="16" t="str">
        <f t="shared" si="7"/>
        <v/>
      </c>
      <c r="V35" s="17" t="str">
        <f t="shared" si="8"/>
        <v/>
      </c>
      <c r="W35" s="18">
        <f t="shared" si="20"/>
        <v>0</v>
      </c>
      <c r="X35" s="18">
        <f t="shared" si="21"/>
        <v>0</v>
      </c>
      <c r="Y35" s="18" t="str">
        <f t="shared" si="22"/>
        <v/>
      </c>
      <c r="Z35" s="19">
        <f>IF(W35=1,MAX(0,MIN(Settings!$B$6,(IFERROR(VLOOKUP(U34,'Bucket Status'!$A$4:$B$75,2,FALSE()),0)-(SUMIF($U$5:$U34,U34,$AK$5:$AK34)+SUMIF($V$5:$V34,U34,$AL$5:$AL34)+SUMIF($Y$5:$Y34,U34,$AA$5:$AA34)+SUMIF($AC$5:$AC34,U34,$AE$5:$AE34))))),IF(AB34&gt;0,AB34,0))</f>
        <v>0</v>
      </c>
      <c r="AA35" s="19">
        <f t="shared" si="9"/>
        <v>0</v>
      </c>
      <c r="AB35" s="19">
        <f t="shared" si="10"/>
        <v>0</v>
      </c>
      <c r="AC35" s="18" t="str">
        <f t="shared" si="23"/>
        <v/>
      </c>
      <c r="AD35" s="19">
        <f>IF(X35=1,MAX(0,MIN(Settings!$B$6-Z35,(IFERROR(VLOOKUP(V34,'Bucket Status'!$A$4:$B$75,2,FALSE()),0)-(SUMIF($U$5:$U34,V34,$AK$5:$AK34)+SUMIF($V$5:$V34,V34,$AL$5:$AL34)+SUMIF($Y$5:$Y34,V34,$AA$5:$AA34)+SUMIF($AC$5:$AC34,V34,$AE$5:$AE34))))),IF(AF34&gt;0,AF34,0))</f>
        <v>0</v>
      </c>
      <c r="AE35" s="19">
        <f t="shared" si="11"/>
        <v>0</v>
      </c>
      <c r="AF35" s="19">
        <f t="shared" si="12"/>
        <v>0</v>
      </c>
      <c r="AG35" s="20">
        <f>IFERROR(IF(C35="Y",Settings!$B$4+Settings!$B$5,0),0)</f>
        <v>0</v>
      </c>
      <c r="AH35" s="21" t="str">
        <f>IFERROR(IF(U35="","",IFERROR(VLOOKUP(U35,'Bucket Status'!$A$4:$B$75,2,FALSE()),0)-(SUMIF($U$5:$U34,U35,$AK$5:$AK34)+SUMIF($V$5:$V34,U35,$AL$5:$AL34)+SUMIF($Y$5:$Y34,U35,$AA$5:$AA34)+SUMIF($AC$5:$AC34,U35,$AE$5:$AE34))),"")</f>
        <v/>
      </c>
      <c r="AI35" s="22" t="str">
        <f>IFERROR(IF(V35="","",IFERROR(VLOOKUP(V35,'Bucket Status'!$A$4:$B$75,2,FALSE()),0)-(SUMIF($U$5:$U34,V35,$AK$5:$AK34)+SUMIF($V$5:$V34,V35,$AL$5:$AL34)+SUMIF($Y$5:$Y34,V35,$AA$5:$AA34)+SUMIF($AC$5:$AC34,V35,$AE$5:$AE34))),"")</f>
        <v/>
      </c>
      <c r="AJ35" s="23" t="str">
        <f t="shared" si="13"/>
        <v/>
      </c>
      <c r="AK35" s="21" t="str">
        <f t="shared" si="14"/>
        <v/>
      </c>
      <c r="AL35" s="22" t="str">
        <f t="shared" si="15"/>
        <v/>
      </c>
    </row>
    <row r="36" spans="1:38" ht="18" customHeight="1" x14ac:dyDescent="0.3">
      <c r="A36" s="3"/>
      <c r="B36" s="50"/>
      <c r="C36" s="4"/>
      <c r="D36" s="5"/>
      <c r="E36" s="5"/>
      <c r="F36" s="6"/>
      <c r="G36" s="6"/>
      <c r="H36" s="7"/>
      <c r="I36" s="8" t="str">
        <f t="shared" si="0"/>
        <v/>
      </c>
      <c r="J36" s="9" t="str">
        <f t="shared" si="1"/>
        <v/>
      </c>
      <c r="K36" s="10" t="str">
        <f t="shared" si="2"/>
        <v/>
      </c>
      <c r="L36" s="11" t="str">
        <f t="shared" si="3"/>
        <v/>
      </c>
      <c r="M36" s="12" t="str">
        <f t="shared" si="4"/>
        <v/>
      </c>
      <c r="N36" s="13" t="str">
        <f t="shared" si="5"/>
        <v/>
      </c>
      <c r="O36" s="14" t="str">
        <f t="shared" si="6"/>
        <v/>
      </c>
      <c r="P36" s="15"/>
      <c r="Q36" s="16" t="str">
        <f t="shared" si="16"/>
        <v/>
      </c>
      <c r="R36" s="16" t="str">
        <f t="shared" si="17"/>
        <v/>
      </c>
      <c r="S36" s="17" t="str">
        <f t="shared" si="18"/>
        <v/>
      </c>
      <c r="T36" s="17" t="str">
        <f t="shared" si="19"/>
        <v/>
      </c>
      <c r="U36" s="16" t="str">
        <f t="shared" si="7"/>
        <v/>
      </c>
      <c r="V36" s="17" t="str">
        <f t="shared" si="8"/>
        <v/>
      </c>
      <c r="W36" s="18">
        <f t="shared" si="20"/>
        <v>0</v>
      </c>
      <c r="X36" s="18">
        <f t="shared" si="21"/>
        <v>0</v>
      </c>
      <c r="Y36" s="18" t="str">
        <f t="shared" si="22"/>
        <v/>
      </c>
      <c r="Z36" s="19">
        <f>IF(W36=1,MAX(0,MIN(Settings!$B$6,(IFERROR(VLOOKUP(U35,'Bucket Status'!$A$4:$B$75,2,FALSE()),0)-(SUMIF($U$5:$U35,U35,$AK$5:$AK35)+SUMIF($V$5:$V35,U35,$AL$5:$AL35)+SUMIF($Y$5:$Y35,U35,$AA$5:$AA35)+SUMIF($AC$5:$AC35,U35,$AE$5:$AE35))))),IF(AB35&gt;0,AB35,0))</f>
        <v>0</v>
      </c>
      <c r="AA36" s="19">
        <f t="shared" si="9"/>
        <v>0</v>
      </c>
      <c r="AB36" s="19">
        <f t="shared" si="10"/>
        <v>0</v>
      </c>
      <c r="AC36" s="18" t="str">
        <f t="shared" si="23"/>
        <v/>
      </c>
      <c r="AD36" s="19">
        <f>IF(X36=1,MAX(0,MIN(Settings!$B$6-Z36,(IFERROR(VLOOKUP(V35,'Bucket Status'!$A$4:$B$75,2,FALSE()),0)-(SUMIF($U$5:$U35,V35,$AK$5:$AK35)+SUMIF($V$5:$V35,V35,$AL$5:$AL35)+SUMIF($Y$5:$Y35,V35,$AA$5:$AA35)+SUMIF($AC$5:$AC35,V35,$AE$5:$AE35))))),IF(AF35&gt;0,AF35,0))</f>
        <v>0</v>
      </c>
      <c r="AE36" s="19">
        <f t="shared" si="11"/>
        <v>0</v>
      </c>
      <c r="AF36" s="19">
        <f t="shared" si="12"/>
        <v>0</v>
      </c>
      <c r="AG36" s="20">
        <f>IFERROR(IF(C36="Y",Settings!$B$4+Settings!$B$5,0),0)</f>
        <v>0</v>
      </c>
      <c r="AH36" s="21" t="str">
        <f>IFERROR(IF(U36="","",IFERROR(VLOOKUP(U36,'Bucket Status'!$A$4:$B$75,2,FALSE()),0)-(SUMIF($U$5:$U35,U36,$AK$5:$AK35)+SUMIF($V$5:$V35,U36,$AL$5:$AL35)+SUMIF($Y$5:$Y35,U36,$AA$5:$AA35)+SUMIF($AC$5:$AC35,U36,$AE$5:$AE35))),"")</f>
        <v/>
      </c>
      <c r="AI36" s="22" t="str">
        <f>IFERROR(IF(V36="","",IFERROR(VLOOKUP(V36,'Bucket Status'!$A$4:$B$75,2,FALSE()),0)-(SUMIF($U$5:$U35,V36,$AK$5:$AK35)+SUMIF($V$5:$V35,V36,$AL$5:$AL35)+SUMIF($Y$5:$Y35,V36,$AA$5:$AA35)+SUMIF($AC$5:$AC35,V36,$AE$5:$AE35))),"")</f>
        <v/>
      </c>
      <c r="AJ36" s="23" t="str">
        <f t="shared" si="13"/>
        <v/>
      </c>
      <c r="AK36" s="21" t="str">
        <f t="shared" si="14"/>
        <v/>
      </c>
      <c r="AL36" s="22" t="str">
        <f t="shared" si="15"/>
        <v/>
      </c>
    </row>
    <row r="37" spans="1:38" ht="18" customHeight="1" x14ac:dyDescent="0.3">
      <c r="A37" s="3"/>
      <c r="B37" s="50"/>
      <c r="C37" s="4"/>
      <c r="D37" s="5"/>
      <c r="E37" s="5"/>
      <c r="F37" s="6"/>
      <c r="G37" s="6"/>
      <c r="H37" s="7"/>
      <c r="I37" s="8" t="str">
        <f t="shared" ref="I37:I68" si="24">IFERROR(IF(H37="","",H37+AG37),"")</f>
        <v/>
      </c>
      <c r="J37" s="9" t="str">
        <f t="shared" ref="J37:J68" si="25">IFERROR(IF(OR(I37="",AJ37=""),"",AJ37-(AK37+AL37)),"")</f>
        <v/>
      </c>
      <c r="K37" s="10" t="str">
        <f t="shared" ref="K37:K68" si="26">IF(AND(AA37&gt;0,AE37&gt;0),TEXT(AA37,"0.000")&amp;" kg "&amp;Y37&amp;" (funnel)"&amp;"  +  "&amp;TEXT(AE37,"0.000")&amp;" kg "&amp;AC37&amp;" (funnel)",IF(AA37&gt;0,TEXT(AA37,"0.000")&amp;" kg "&amp;Y37&amp;" (funnel)",IF(AE37&gt;0,TEXT(AE37,"0.000")&amp;" kg "&amp;AC37&amp;" (funnel)","")))</f>
        <v/>
      </c>
      <c r="L37" s="11" t="str">
        <f t="shared" ref="L37:L68" si="27">IF(OR(AK37="",AK37=0,U37=""),"",TEXT(AK37,"0.000")&amp;" kg "&amp;U37)</f>
        <v/>
      </c>
      <c r="M37" s="12" t="str">
        <f t="shared" ref="M37:M68" si="28">IF(OR(AL37="",AL37=0,V37=""),"",TEXT(AL37,"0.000")&amp;" kg "&amp;V37)</f>
        <v/>
      </c>
      <c r="N37" s="13" t="str">
        <f t="shared" ref="N37:N68" si="29">IF(OR(I37="",U37=""),"",TEXT(MAX(0,(AH37-AK37-IF(Y37=U37,AA37,0)-IF(AC37=U37,AE37,0))),"0.000")&amp;" kg "&amp;U37)</f>
        <v/>
      </c>
      <c r="O37" s="14" t="str">
        <f t="shared" ref="O37:O68" si="30">IF(OR(I37="",V37=""),"",TEXT(MAX(0,(AI37-AL37-IF(Y37=V37,AA37,0)-IF(AC37=V37,AE37,0))),"0.000")&amp;" kg "&amp;V37)</f>
        <v/>
      </c>
      <c r="P37" s="15"/>
      <c r="Q37" s="16" t="str">
        <f t="shared" si="16"/>
        <v/>
      </c>
      <c r="R37" s="16" t="str">
        <f t="shared" si="17"/>
        <v/>
      </c>
      <c r="S37" s="17" t="str">
        <f t="shared" si="18"/>
        <v/>
      </c>
      <c r="T37" s="17" t="str">
        <f t="shared" si="19"/>
        <v/>
      </c>
      <c r="U37" s="16" t="str">
        <f t="shared" ref="U37:U68" si="31">IF(OR(Q37="",R37=""),"",Q37&amp;R37&amp;"-")</f>
        <v/>
      </c>
      <c r="V37" s="17" t="str">
        <f t="shared" ref="V37:V68" si="32">IF(OR(S37="",T37=""),"",S37&amp;T37&amp;"-")</f>
        <v/>
      </c>
      <c r="W37" s="18">
        <f t="shared" si="20"/>
        <v>0</v>
      </c>
      <c r="X37" s="18">
        <f t="shared" si="21"/>
        <v>0</v>
      </c>
      <c r="Y37" s="18" t="str">
        <f t="shared" si="22"/>
        <v/>
      </c>
      <c r="Z37" s="19">
        <f>IF(W37=1,MAX(0,MIN(Settings!$B$6,(IFERROR(VLOOKUP(U36,'Bucket Status'!$A$4:$B$75,2,FALSE()),0)-(SUMIF($U$5:$U36,U36,$AK$5:$AK36)+SUMIF($V$5:$V36,U36,$AL$5:$AL36)+SUMIF($Y$5:$Y36,U36,$AA$5:$AA36)+SUMIF($AC$5:$AC36,U36,$AE$5:$AE36))))),IF(AB36&gt;0,AB36,0))</f>
        <v>0</v>
      </c>
      <c r="AA37" s="19">
        <f t="shared" ref="AA37:AA68" si="33">IFERROR(IF(I37="",0,MAX(0,MIN(Z37,I37))),0)</f>
        <v>0</v>
      </c>
      <c r="AB37" s="19">
        <f t="shared" ref="AB37:AB68" si="34">IFERROR(Z37-AA37,0)</f>
        <v>0</v>
      </c>
      <c r="AC37" s="18" t="str">
        <f t="shared" si="23"/>
        <v/>
      </c>
      <c r="AD37" s="19">
        <f>IF(X37=1,MAX(0,MIN(Settings!$B$6-Z37,(IFERROR(VLOOKUP(V36,'Bucket Status'!$A$4:$B$75,2,FALSE()),0)-(SUMIF($U$5:$U36,V36,$AK$5:$AK36)+SUMIF($V$5:$V36,V36,$AL$5:$AL36)+SUMIF($Y$5:$Y36,V36,$AA$5:$AA36)+SUMIF($AC$5:$AC36,V36,$AE$5:$AE36))))),IF(AF36&gt;0,AF36,0))</f>
        <v>0</v>
      </c>
      <c r="AE37" s="19">
        <f t="shared" ref="AE37:AE68" si="35">IFERROR(IF(I37="",0,MAX(0,MIN(AD37,I37-AA37))),0)</f>
        <v>0</v>
      </c>
      <c r="AF37" s="19">
        <f t="shared" ref="AF37:AF68" si="36">IFERROR(AD37-AE37,0)</f>
        <v>0</v>
      </c>
      <c r="AG37" s="20">
        <f>IFERROR(IF(C37="Y",Settings!$B$4+Settings!$B$5,0),0)</f>
        <v>0</v>
      </c>
      <c r="AH37" s="21" t="str">
        <f>IFERROR(IF(U37="","",IFERROR(VLOOKUP(U37,'Bucket Status'!$A$4:$B$75,2,FALSE()),0)-(SUMIF($U$5:$U36,U37,$AK$5:$AK36)+SUMIF($V$5:$V36,U37,$AL$5:$AL36)+SUMIF($Y$5:$Y36,U37,$AA$5:$AA36)+SUMIF($AC$5:$AC36,U37,$AE$5:$AE36))),"")</f>
        <v/>
      </c>
      <c r="AI37" s="22" t="str">
        <f>IFERROR(IF(V37="","",IFERROR(VLOOKUP(V37,'Bucket Status'!$A$4:$B$75,2,FALSE()),0)-(SUMIF($U$5:$U36,V37,$AK$5:$AK36)+SUMIF($V$5:$V36,V37,$AL$5:$AL36)+SUMIF($Y$5:$Y36,V37,$AA$5:$AA36)+SUMIF($AC$5:$AC36,V37,$AE$5:$AE36))),"")</f>
        <v/>
      </c>
      <c r="AJ37" s="23" t="str">
        <f t="shared" ref="AJ37:AJ68" si="37">IFERROR(IF(AH37="","",AH37+IF(AI37="",0,AI37)),"")</f>
        <v/>
      </c>
      <c r="AK37" s="21" t="str">
        <f t="shared" ref="AK37:AK68" si="38">IFERROR(IF(I37="","",IF(U37="",0,IF(V37="",(I37-AA37-AE37),MIN(AH37,(I37-AA37-AE37))))),"")</f>
        <v/>
      </c>
      <c r="AL37" s="22" t="str">
        <f t="shared" ref="AL37:AL68" si="39">IFERROR(IF(I37="","",IF(V37="",0,MAX(0,(I37-AA37-AE37)-AK37))),"")</f>
        <v/>
      </c>
    </row>
    <row r="38" spans="1:38" ht="18" customHeight="1" x14ac:dyDescent="0.3">
      <c r="A38" s="3"/>
      <c r="B38" s="50"/>
      <c r="C38" s="4"/>
      <c r="D38" s="5"/>
      <c r="E38" s="5"/>
      <c r="F38" s="6"/>
      <c r="G38" s="6"/>
      <c r="H38" s="7"/>
      <c r="I38" s="8" t="str">
        <f t="shared" si="24"/>
        <v/>
      </c>
      <c r="J38" s="9" t="str">
        <f t="shared" si="25"/>
        <v/>
      </c>
      <c r="K38" s="10" t="str">
        <f t="shared" si="26"/>
        <v/>
      </c>
      <c r="L38" s="11" t="str">
        <f t="shared" si="27"/>
        <v/>
      </c>
      <c r="M38" s="12" t="str">
        <f t="shared" si="28"/>
        <v/>
      </c>
      <c r="N38" s="13" t="str">
        <f t="shared" si="29"/>
        <v/>
      </c>
      <c r="O38" s="14" t="str">
        <f t="shared" si="30"/>
        <v/>
      </c>
      <c r="P38" s="15"/>
      <c r="Q38" s="16" t="str">
        <f t="shared" ref="Q38:Q69" si="40">IF($A38="","",IF(D38="",Q37,D38))</f>
        <v/>
      </c>
      <c r="R38" s="16" t="str">
        <f t="shared" ref="R38:R69" si="41">IF($A38="","",IF(E38="",R37,E38))</f>
        <v/>
      </c>
      <c r="S38" s="17" t="str">
        <f t="shared" ref="S38:S69" si="42">IF($A38="","",IF(F38="",S37,F38))</f>
        <v/>
      </c>
      <c r="T38" s="17" t="str">
        <f t="shared" ref="T38:T69" si="43">IF($A38="","",IF(G38="",T37,G38))</f>
        <v/>
      </c>
      <c r="U38" s="16" t="str">
        <f t="shared" si="31"/>
        <v/>
      </c>
      <c r="V38" s="17" t="str">
        <f t="shared" si="32"/>
        <v/>
      </c>
      <c r="W38" s="18">
        <f t="shared" ref="W38:W69" si="44">IF(AND(U38&lt;&gt;"",U37&lt;&gt;"",U38&lt;&gt;U37),1,0)</f>
        <v>0</v>
      </c>
      <c r="X38" s="18">
        <f t="shared" ref="X38:X69" si="45">IF(AND(V38&lt;&gt;"",V37&lt;&gt;"",V38&lt;&gt;V37),1,0)</f>
        <v>0</v>
      </c>
      <c r="Y38" s="18" t="str">
        <f t="shared" ref="Y38:Y69" si="46">IF(W38=1,U37,IF(AB37&gt;0,Y37,""))</f>
        <v/>
      </c>
      <c r="Z38" s="19">
        <f>IF(W38=1,MAX(0,MIN(Settings!$B$6,(IFERROR(VLOOKUP(U37,'Bucket Status'!$A$4:$B$75,2,FALSE()),0)-(SUMIF($U$5:$U37,U37,$AK$5:$AK37)+SUMIF($V$5:$V37,U37,$AL$5:$AL37)+SUMIF($Y$5:$Y37,U37,$AA$5:$AA37)+SUMIF($AC$5:$AC37,U37,$AE$5:$AE37))))),IF(AB37&gt;0,AB37,0))</f>
        <v>0</v>
      </c>
      <c r="AA38" s="19">
        <f t="shared" si="33"/>
        <v>0</v>
      </c>
      <c r="AB38" s="19">
        <f t="shared" si="34"/>
        <v>0</v>
      </c>
      <c r="AC38" s="18" t="str">
        <f t="shared" ref="AC38:AC69" si="47">IF(X38=1,V37,IF(AF37&gt;0,AC37,""))</f>
        <v/>
      </c>
      <c r="AD38" s="19">
        <f>IF(X38=1,MAX(0,MIN(Settings!$B$6-Z38,(IFERROR(VLOOKUP(V37,'Bucket Status'!$A$4:$B$75,2,FALSE()),0)-(SUMIF($U$5:$U37,V37,$AK$5:$AK37)+SUMIF($V$5:$V37,V37,$AL$5:$AL37)+SUMIF($Y$5:$Y37,V37,$AA$5:$AA37)+SUMIF($AC$5:$AC37,V37,$AE$5:$AE37))))),IF(AF37&gt;0,AF37,0))</f>
        <v>0</v>
      </c>
      <c r="AE38" s="19">
        <f t="shared" si="35"/>
        <v>0</v>
      </c>
      <c r="AF38" s="19">
        <f t="shared" si="36"/>
        <v>0</v>
      </c>
      <c r="AG38" s="20">
        <f>IFERROR(IF(C38="Y",Settings!$B$4+Settings!$B$5,0),0)</f>
        <v>0</v>
      </c>
      <c r="AH38" s="21" t="str">
        <f>IFERROR(IF(U38="","",IFERROR(VLOOKUP(U38,'Bucket Status'!$A$4:$B$75,2,FALSE()),0)-(SUMIF($U$5:$U37,U38,$AK$5:$AK37)+SUMIF($V$5:$V37,U38,$AL$5:$AL37)+SUMIF($Y$5:$Y37,U38,$AA$5:$AA37)+SUMIF($AC$5:$AC37,U38,$AE$5:$AE37))),"")</f>
        <v/>
      </c>
      <c r="AI38" s="22" t="str">
        <f>IFERROR(IF(V38="","",IFERROR(VLOOKUP(V38,'Bucket Status'!$A$4:$B$75,2,FALSE()),0)-(SUMIF($U$5:$U37,V38,$AK$5:$AK37)+SUMIF($V$5:$V37,V38,$AL$5:$AL37)+SUMIF($Y$5:$Y37,V38,$AA$5:$AA37)+SUMIF($AC$5:$AC37,V38,$AE$5:$AE37))),"")</f>
        <v/>
      </c>
      <c r="AJ38" s="23" t="str">
        <f t="shared" si="37"/>
        <v/>
      </c>
      <c r="AK38" s="21" t="str">
        <f t="shared" si="38"/>
        <v/>
      </c>
      <c r="AL38" s="22" t="str">
        <f t="shared" si="39"/>
        <v/>
      </c>
    </row>
    <row r="39" spans="1:38" ht="18" customHeight="1" x14ac:dyDescent="0.3">
      <c r="A39" s="3"/>
      <c r="B39" s="50"/>
      <c r="C39" s="4"/>
      <c r="D39" s="5"/>
      <c r="E39" s="5"/>
      <c r="F39" s="6"/>
      <c r="G39" s="6"/>
      <c r="H39" s="7"/>
      <c r="I39" s="8" t="str">
        <f t="shared" si="24"/>
        <v/>
      </c>
      <c r="J39" s="9" t="str">
        <f t="shared" si="25"/>
        <v/>
      </c>
      <c r="K39" s="10" t="str">
        <f t="shared" si="26"/>
        <v/>
      </c>
      <c r="L39" s="11" t="str">
        <f t="shared" si="27"/>
        <v/>
      </c>
      <c r="M39" s="12" t="str">
        <f t="shared" si="28"/>
        <v/>
      </c>
      <c r="N39" s="13" t="str">
        <f t="shared" si="29"/>
        <v/>
      </c>
      <c r="O39" s="14" t="str">
        <f t="shared" si="30"/>
        <v/>
      </c>
      <c r="P39" s="15"/>
      <c r="Q39" s="16" t="str">
        <f t="shared" si="40"/>
        <v/>
      </c>
      <c r="R39" s="16" t="str">
        <f t="shared" si="41"/>
        <v/>
      </c>
      <c r="S39" s="17" t="str">
        <f t="shared" si="42"/>
        <v/>
      </c>
      <c r="T39" s="17" t="str">
        <f t="shared" si="43"/>
        <v/>
      </c>
      <c r="U39" s="16" t="str">
        <f t="shared" si="31"/>
        <v/>
      </c>
      <c r="V39" s="17" t="str">
        <f t="shared" si="32"/>
        <v/>
      </c>
      <c r="W39" s="18">
        <f t="shared" si="44"/>
        <v>0</v>
      </c>
      <c r="X39" s="18">
        <f t="shared" si="45"/>
        <v>0</v>
      </c>
      <c r="Y39" s="18" t="str">
        <f t="shared" si="46"/>
        <v/>
      </c>
      <c r="Z39" s="19">
        <f>IF(W39=1,MAX(0,MIN(Settings!$B$6,(IFERROR(VLOOKUP(U38,'Bucket Status'!$A$4:$B$75,2,FALSE()),0)-(SUMIF($U$5:$U38,U38,$AK$5:$AK38)+SUMIF($V$5:$V38,U38,$AL$5:$AL38)+SUMIF($Y$5:$Y38,U38,$AA$5:$AA38)+SUMIF($AC$5:$AC38,U38,$AE$5:$AE38))))),IF(AB38&gt;0,AB38,0))</f>
        <v>0</v>
      </c>
      <c r="AA39" s="19">
        <f t="shared" si="33"/>
        <v>0</v>
      </c>
      <c r="AB39" s="19">
        <f t="shared" si="34"/>
        <v>0</v>
      </c>
      <c r="AC39" s="18" t="str">
        <f t="shared" si="47"/>
        <v/>
      </c>
      <c r="AD39" s="19">
        <f>IF(X39=1,MAX(0,MIN(Settings!$B$6-Z39,(IFERROR(VLOOKUP(V38,'Bucket Status'!$A$4:$B$75,2,FALSE()),0)-(SUMIF($U$5:$U38,V38,$AK$5:$AK38)+SUMIF($V$5:$V38,V38,$AL$5:$AL38)+SUMIF($Y$5:$Y38,V38,$AA$5:$AA38)+SUMIF($AC$5:$AC38,V38,$AE$5:$AE38))))),IF(AF38&gt;0,AF38,0))</f>
        <v>0</v>
      </c>
      <c r="AE39" s="19">
        <f t="shared" si="35"/>
        <v>0</v>
      </c>
      <c r="AF39" s="19">
        <f t="shared" si="36"/>
        <v>0</v>
      </c>
      <c r="AG39" s="20">
        <f>IFERROR(IF(C39="Y",Settings!$B$4+Settings!$B$5,0),0)</f>
        <v>0</v>
      </c>
      <c r="AH39" s="21" t="str">
        <f>IFERROR(IF(U39="","",IFERROR(VLOOKUP(U39,'Bucket Status'!$A$4:$B$75,2,FALSE()),0)-(SUMIF($U$5:$U38,U39,$AK$5:$AK38)+SUMIF($V$5:$V38,U39,$AL$5:$AL38)+SUMIF($Y$5:$Y38,U39,$AA$5:$AA38)+SUMIF($AC$5:$AC38,U39,$AE$5:$AE38))),"")</f>
        <v/>
      </c>
      <c r="AI39" s="22" t="str">
        <f>IFERROR(IF(V39="","",IFERROR(VLOOKUP(V39,'Bucket Status'!$A$4:$B$75,2,FALSE()),0)-(SUMIF($U$5:$U38,V39,$AK$5:$AK38)+SUMIF($V$5:$V38,V39,$AL$5:$AL38)+SUMIF($Y$5:$Y38,V39,$AA$5:$AA38)+SUMIF($AC$5:$AC38,V39,$AE$5:$AE38))),"")</f>
        <v/>
      </c>
      <c r="AJ39" s="23" t="str">
        <f t="shared" si="37"/>
        <v/>
      </c>
      <c r="AK39" s="21" t="str">
        <f t="shared" si="38"/>
        <v/>
      </c>
      <c r="AL39" s="22" t="str">
        <f t="shared" si="39"/>
        <v/>
      </c>
    </row>
    <row r="40" spans="1:38" ht="18" customHeight="1" x14ac:dyDescent="0.3">
      <c r="A40" s="3"/>
      <c r="B40" s="50"/>
      <c r="C40" s="4"/>
      <c r="D40" s="5"/>
      <c r="E40" s="5"/>
      <c r="F40" s="6"/>
      <c r="G40" s="6"/>
      <c r="H40" s="7"/>
      <c r="I40" s="8" t="str">
        <f t="shared" si="24"/>
        <v/>
      </c>
      <c r="J40" s="9" t="str">
        <f t="shared" si="25"/>
        <v/>
      </c>
      <c r="K40" s="10" t="str">
        <f t="shared" si="26"/>
        <v/>
      </c>
      <c r="L40" s="11" t="str">
        <f t="shared" si="27"/>
        <v/>
      </c>
      <c r="M40" s="12" t="str">
        <f t="shared" si="28"/>
        <v/>
      </c>
      <c r="N40" s="13" t="str">
        <f t="shared" si="29"/>
        <v/>
      </c>
      <c r="O40" s="14" t="str">
        <f t="shared" si="30"/>
        <v/>
      </c>
      <c r="P40" s="15"/>
      <c r="Q40" s="16" t="str">
        <f t="shared" si="40"/>
        <v/>
      </c>
      <c r="R40" s="16" t="str">
        <f t="shared" si="41"/>
        <v/>
      </c>
      <c r="S40" s="17" t="str">
        <f t="shared" si="42"/>
        <v/>
      </c>
      <c r="T40" s="17" t="str">
        <f t="shared" si="43"/>
        <v/>
      </c>
      <c r="U40" s="16" t="str">
        <f t="shared" si="31"/>
        <v/>
      </c>
      <c r="V40" s="17" t="str">
        <f t="shared" si="32"/>
        <v/>
      </c>
      <c r="W40" s="18">
        <f t="shared" si="44"/>
        <v>0</v>
      </c>
      <c r="X40" s="18">
        <f t="shared" si="45"/>
        <v>0</v>
      </c>
      <c r="Y40" s="18" t="str">
        <f t="shared" si="46"/>
        <v/>
      </c>
      <c r="Z40" s="19">
        <f>IF(W40=1,MAX(0,MIN(Settings!$B$6,(IFERROR(VLOOKUP(U39,'Bucket Status'!$A$4:$B$75,2,FALSE()),0)-(SUMIF($U$5:$U39,U39,$AK$5:$AK39)+SUMIF($V$5:$V39,U39,$AL$5:$AL39)+SUMIF($Y$5:$Y39,U39,$AA$5:$AA39)+SUMIF($AC$5:$AC39,U39,$AE$5:$AE39))))),IF(AB39&gt;0,AB39,0))</f>
        <v>0</v>
      </c>
      <c r="AA40" s="19">
        <f t="shared" si="33"/>
        <v>0</v>
      </c>
      <c r="AB40" s="19">
        <f t="shared" si="34"/>
        <v>0</v>
      </c>
      <c r="AC40" s="18" t="str">
        <f t="shared" si="47"/>
        <v/>
      </c>
      <c r="AD40" s="19">
        <f>IF(X40=1,MAX(0,MIN(Settings!$B$6-Z40,(IFERROR(VLOOKUP(V39,'Bucket Status'!$A$4:$B$75,2,FALSE()),0)-(SUMIF($U$5:$U39,V39,$AK$5:$AK39)+SUMIF($V$5:$V39,V39,$AL$5:$AL39)+SUMIF($Y$5:$Y39,V39,$AA$5:$AA39)+SUMIF($AC$5:$AC39,V39,$AE$5:$AE39))))),IF(AF39&gt;0,AF39,0))</f>
        <v>0</v>
      </c>
      <c r="AE40" s="19">
        <f t="shared" si="35"/>
        <v>0</v>
      </c>
      <c r="AF40" s="19">
        <f t="shared" si="36"/>
        <v>0</v>
      </c>
      <c r="AG40" s="20">
        <f>IFERROR(IF(C40="Y",Settings!$B$4+Settings!$B$5,0),0)</f>
        <v>0</v>
      </c>
      <c r="AH40" s="21" t="str">
        <f>IFERROR(IF(U40="","",IFERROR(VLOOKUP(U40,'Bucket Status'!$A$4:$B$75,2,FALSE()),0)-(SUMIF($U$5:$U39,U40,$AK$5:$AK39)+SUMIF($V$5:$V39,U40,$AL$5:$AL39)+SUMIF($Y$5:$Y39,U40,$AA$5:$AA39)+SUMIF($AC$5:$AC39,U40,$AE$5:$AE39))),"")</f>
        <v/>
      </c>
      <c r="AI40" s="22" t="str">
        <f>IFERROR(IF(V40="","",IFERROR(VLOOKUP(V40,'Bucket Status'!$A$4:$B$75,2,FALSE()),0)-(SUMIF($U$5:$U39,V40,$AK$5:$AK39)+SUMIF($V$5:$V39,V40,$AL$5:$AL39)+SUMIF($Y$5:$Y39,V40,$AA$5:$AA39)+SUMIF($AC$5:$AC39,V40,$AE$5:$AE39))),"")</f>
        <v/>
      </c>
      <c r="AJ40" s="23" t="str">
        <f t="shared" si="37"/>
        <v/>
      </c>
      <c r="AK40" s="21" t="str">
        <f t="shared" si="38"/>
        <v/>
      </c>
      <c r="AL40" s="22" t="str">
        <f t="shared" si="39"/>
        <v/>
      </c>
    </row>
    <row r="41" spans="1:38" ht="18" customHeight="1" x14ac:dyDescent="0.3">
      <c r="A41" s="3"/>
      <c r="B41" s="50"/>
      <c r="C41" s="4"/>
      <c r="D41" s="5"/>
      <c r="E41" s="5"/>
      <c r="F41" s="6"/>
      <c r="G41" s="6"/>
      <c r="H41" s="7"/>
      <c r="I41" s="8" t="str">
        <f t="shared" si="24"/>
        <v/>
      </c>
      <c r="J41" s="9" t="str">
        <f t="shared" si="25"/>
        <v/>
      </c>
      <c r="K41" s="10" t="str">
        <f t="shared" si="26"/>
        <v/>
      </c>
      <c r="L41" s="11" t="str">
        <f t="shared" si="27"/>
        <v/>
      </c>
      <c r="M41" s="12" t="str">
        <f t="shared" si="28"/>
        <v/>
      </c>
      <c r="N41" s="13" t="str">
        <f t="shared" si="29"/>
        <v/>
      </c>
      <c r="O41" s="14" t="str">
        <f t="shared" si="30"/>
        <v/>
      </c>
      <c r="P41" s="15"/>
      <c r="Q41" s="16" t="str">
        <f t="shared" si="40"/>
        <v/>
      </c>
      <c r="R41" s="16" t="str">
        <f t="shared" si="41"/>
        <v/>
      </c>
      <c r="S41" s="17" t="str">
        <f t="shared" si="42"/>
        <v/>
      </c>
      <c r="T41" s="17" t="str">
        <f t="shared" si="43"/>
        <v/>
      </c>
      <c r="U41" s="16" t="str">
        <f t="shared" si="31"/>
        <v/>
      </c>
      <c r="V41" s="17" t="str">
        <f t="shared" si="32"/>
        <v/>
      </c>
      <c r="W41" s="18">
        <f t="shared" si="44"/>
        <v>0</v>
      </c>
      <c r="X41" s="18">
        <f t="shared" si="45"/>
        <v>0</v>
      </c>
      <c r="Y41" s="18" t="str">
        <f t="shared" si="46"/>
        <v/>
      </c>
      <c r="Z41" s="19">
        <f>IF(W41=1,MAX(0,MIN(Settings!$B$6,(IFERROR(VLOOKUP(U40,'Bucket Status'!$A$4:$B$75,2,FALSE()),0)-(SUMIF($U$5:$U40,U40,$AK$5:$AK40)+SUMIF($V$5:$V40,U40,$AL$5:$AL40)+SUMIF($Y$5:$Y40,U40,$AA$5:$AA40)+SUMIF($AC$5:$AC40,U40,$AE$5:$AE40))))),IF(AB40&gt;0,AB40,0))</f>
        <v>0</v>
      </c>
      <c r="AA41" s="19">
        <f t="shared" si="33"/>
        <v>0</v>
      </c>
      <c r="AB41" s="19">
        <f t="shared" si="34"/>
        <v>0</v>
      </c>
      <c r="AC41" s="18" t="str">
        <f t="shared" si="47"/>
        <v/>
      </c>
      <c r="AD41" s="19">
        <f>IF(X41=1,MAX(0,MIN(Settings!$B$6-Z41,(IFERROR(VLOOKUP(V40,'Bucket Status'!$A$4:$B$75,2,FALSE()),0)-(SUMIF($U$5:$U40,V40,$AK$5:$AK40)+SUMIF($V$5:$V40,V40,$AL$5:$AL40)+SUMIF($Y$5:$Y40,V40,$AA$5:$AA40)+SUMIF($AC$5:$AC40,V40,$AE$5:$AE40))))),IF(AF40&gt;0,AF40,0))</f>
        <v>0</v>
      </c>
      <c r="AE41" s="19">
        <f t="shared" si="35"/>
        <v>0</v>
      </c>
      <c r="AF41" s="19">
        <f t="shared" si="36"/>
        <v>0</v>
      </c>
      <c r="AG41" s="20">
        <f>IFERROR(IF(C41="Y",Settings!$B$4+Settings!$B$5,0),0)</f>
        <v>0</v>
      </c>
      <c r="AH41" s="21" t="str">
        <f>IFERROR(IF(U41="","",IFERROR(VLOOKUP(U41,'Bucket Status'!$A$4:$B$75,2,FALSE()),0)-(SUMIF($U$5:$U40,U41,$AK$5:$AK40)+SUMIF($V$5:$V40,U41,$AL$5:$AL40)+SUMIF($Y$5:$Y40,U41,$AA$5:$AA40)+SUMIF($AC$5:$AC40,U41,$AE$5:$AE40))),"")</f>
        <v/>
      </c>
      <c r="AI41" s="22" t="str">
        <f>IFERROR(IF(V41="","",IFERROR(VLOOKUP(V41,'Bucket Status'!$A$4:$B$75,2,FALSE()),0)-(SUMIF($U$5:$U40,V41,$AK$5:$AK40)+SUMIF($V$5:$V40,V41,$AL$5:$AL40)+SUMIF($Y$5:$Y40,V41,$AA$5:$AA40)+SUMIF($AC$5:$AC40,V41,$AE$5:$AE40))),"")</f>
        <v/>
      </c>
      <c r="AJ41" s="23" t="str">
        <f t="shared" si="37"/>
        <v/>
      </c>
      <c r="AK41" s="21" t="str">
        <f t="shared" si="38"/>
        <v/>
      </c>
      <c r="AL41" s="22" t="str">
        <f t="shared" si="39"/>
        <v/>
      </c>
    </row>
    <row r="42" spans="1:38" ht="18" customHeight="1" x14ac:dyDescent="0.3">
      <c r="A42" s="3"/>
      <c r="B42" s="50"/>
      <c r="C42" s="4"/>
      <c r="D42" s="5"/>
      <c r="E42" s="5"/>
      <c r="F42" s="6"/>
      <c r="G42" s="6"/>
      <c r="H42" s="7"/>
      <c r="I42" s="8" t="str">
        <f t="shared" si="24"/>
        <v/>
      </c>
      <c r="J42" s="9" t="str">
        <f t="shared" si="25"/>
        <v/>
      </c>
      <c r="K42" s="10" t="str">
        <f t="shared" si="26"/>
        <v/>
      </c>
      <c r="L42" s="11" t="str">
        <f t="shared" si="27"/>
        <v/>
      </c>
      <c r="M42" s="12" t="str">
        <f t="shared" si="28"/>
        <v/>
      </c>
      <c r="N42" s="13" t="str">
        <f t="shared" si="29"/>
        <v/>
      </c>
      <c r="O42" s="14" t="str">
        <f t="shared" si="30"/>
        <v/>
      </c>
      <c r="P42" s="15"/>
      <c r="Q42" s="16" t="str">
        <f t="shared" si="40"/>
        <v/>
      </c>
      <c r="R42" s="16" t="str">
        <f t="shared" si="41"/>
        <v/>
      </c>
      <c r="S42" s="17" t="str">
        <f t="shared" si="42"/>
        <v/>
      </c>
      <c r="T42" s="17" t="str">
        <f t="shared" si="43"/>
        <v/>
      </c>
      <c r="U42" s="16" t="str">
        <f t="shared" si="31"/>
        <v/>
      </c>
      <c r="V42" s="17" t="str">
        <f t="shared" si="32"/>
        <v/>
      </c>
      <c r="W42" s="18">
        <f t="shared" si="44"/>
        <v>0</v>
      </c>
      <c r="X42" s="18">
        <f t="shared" si="45"/>
        <v>0</v>
      </c>
      <c r="Y42" s="18" t="str">
        <f t="shared" si="46"/>
        <v/>
      </c>
      <c r="Z42" s="19">
        <f>IF(W42=1,MAX(0,MIN(Settings!$B$6,(IFERROR(VLOOKUP(U41,'Bucket Status'!$A$4:$B$75,2,FALSE()),0)-(SUMIF($U$5:$U41,U41,$AK$5:$AK41)+SUMIF($V$5:$V41,U41,$AL$5:$AL41)+SUMIF($Y$5:$Y41,U41,$AA$5:$AA41)+SUMIF($AC$5:$AC41,U41,$AE$5:$AE41))))),IF(AB41&gt;0,AB41,0))</f>
        <v>0</v>
      </c>
      <c r="AA42" s="19">
        <f t="shared" si="33"/>
        <v>0</v>
      </c>
      <c r="AB42" s="19">
        <f t="shared" si="34"/>
        <v>0</v>
      </c>
      <c r="AC42" s="18" t="str">
        <f t="shared" si="47"/>
        <v/>
      </c>
      <c r="AD42" s="19">
        <f>IF(X42=1,MAX(0,MIN(Settings!$B$6-Z42,(IFERROR(VLOOKUP(V41,'Bucket Status'!$A$4:$B$75,2,FALSE()),0)-(SUMIF($U$5:$U41,V41,$AK$5:$AK41)+SUMIF($V$5:$V41,V41,$AL$5:$AL41)+SUMIF($Y$5:$Y41,V41,$AA$5:$AA41)+SUMIF($AC$5:$AC41,V41,$AE$5:$AE41))))),IF(AF41&gt;0,AF41,0))</f>
        <v>0</v>
      </c>
      <c r="AE42" s="19">
        <f t="shared" si="35"/>
        <v>0</v>
      </c>
      <c r="AF42" s="19">
        <f t="shared" si="36"/>
        <v>0</v>
      </c>
      <c r="AG42" s="20">
        <f>IFERROR(IF(C42="Y",Settings!$B$4+Settings!$B$5,0),0)</f>
        <v>0</v>
      </c>
      <c r="AH42" s="21" t="str">
        <f>IFERROR(IF(U42="","",IFERROR(VLOOKUP(U42,'Bucket Status'!$A$4:$B$75,2,FALSE()),0)-(SUMIF($U$5:$U41,U42,$AK$5:$AK41)+SUMIF($V$5:$V41,U42,$AL$5:$AL41)+SUMIF($Y$5:$Y41,U42,$AA$5:$AA41)+SUMIF($AC$5:$AC41,U42,$AE$5:$AE41))),"")</f>
        <v/>
      </c>
      <c r="AI42" s="22" t="str">
        <f>IFERROR(IF(V42="","",IFERROR(VLOOKUP(V42,'Bucket Status'!$A$4:$B$75,2,FALSE()),0)-(SUMIF($U$5:$U41,V42,$AK$5:$AK41)+SUMIF($V$5:$V41,V42,$AL$5:$AL41)+SUMIF($Y$5:$Y41,V42,$AA$5:$AA41)+SUMIF($AC$5:$AC41,V42,$AE$5:$AE41))),"")</f>
        <v/>
      </c>
      <c r="AJ42" s="23" t="str">
        <f t="shared" si="37"/>
        <v/>
      </c>
      <c r="AK42" s="21" t="str">
        <f t="shared" si="38"/>
        <v/>
      </c>
      <c r="AL42" s="22" t="str">
        <f t="shared" si="39"/>
        <v/>
      </c>
    </row>
    <row r="43" spans="1:38" ht="18" customHeight="1" x14ac:dyDescent="0.3">
      <c r="A43" s="3"/>
      <c r="B43" s="50"/>
      <c r="C43" s="4"/>
      <c r="D43" s="5"/>
      <c r="E43" s="5"/>
      <c r="F43" s="6"/>
      <c r="G43" s="6"/>
      <c r="H43" s="7"/>
      <c r="I43" s="8" t="str">
        <f t="shared" si="24"/>
        <v/>
      </c>
      <c r="J43" s="9" t="str">
        <f t="shared" si="25"/>
        <v/>
      </c>
      <c r="K43" s="10" t="str">
        <f t="shared" si="26"/>
        <v/>
      </c>
      <c r="L43" s="11" t="str">
        <f t="shared" si="27"/>
        <v/>
      </c>
      <c r="M43" s="12" t="str">
        <f t="shared" si="28"/>
        <v/>
      </c>
      <c r="N43" s="13" t="str">
        <f t="shared" si="29"/>
        <v/>
      </c>
      <c r="O43" s="14" t="str">
        <f t="shared" si="30"/>
        <v/>
      </c>
      <c r="P43" s="15"/>
      <c r="Q43" s="16" t="str">
        <f t="shared" si="40"/>
        <v/>
      </c>
      <c r="R43" s="16" t="str">
        <f t="shared" si="41"/>
        <v/>
      </c>
      <c r="S43" s="17" t="str">
        <f t="shared" si="42"/>
        <v/>
      </c>
      <c r="T43" s="17" t="str">
        <f t="shared" si="43"/>
        <v/>
      </c>
      <c r="U43" s="16" t="str">
        <f t="shared" si="31"/>
        <v/>
      </c>
      <c r="V43" s="17" t="str">
        <f t="shared" si="32"/>
        <v/>
      </c>
      <c r="W43" s="18">
        <f t="shared" si="44"/>
        <v>0</v>
      </c>
      <c r="X43" s="18">
        <f t="shared" si="45"/>
        <v>0</v>
      </c>
      <c r="Y43" s="18" t="str">
        <f t="shared" si="46"/>
        <v/>
      </c>
      <c r="Z43" s="19">
        <f>IF(W43=1,MAX(0,MIN(Settings!$B$6,(IFERROR(VLOOKUP(U42,'Bucket Status'!$A$4:$B$75,2,FALSE()),0)-(SUMIF($U$5:$U42,U42,$AK$5:$AK42)+SUMIF($V$5:$V42,U42,$AL$5:$AL42)+SUMIF($Y$5:$Y42,U42,$AA$5:$AA42)+SUMIF($AC$5:$AC42,U42,$AE$5:$AE42))))),IF(AB42&gt;0,AB42,0))</f>
        <v>0</v>
      </c>
      <c r="AA43" s="19">
        <f t="shared" si="33"/>
        <v>0</v>
      </c>
      <c r="AB43" s="19">
        <f t="shared" si="34"/>
        <v>0</v>
      </c>
      <c r="AC43" s="18" t="str">
        <f t="shared" si="47"/>
        <v/>
      </c>
      <c r="AD43" s="19">
        <f>IF(X43=1,MAX(0,MIN(Settings!$B$6-Z43,(IFERROR(VLOOKUP(V42,'Bucket Status'!$A$4:$B$75,2,FALSE()),0)-(SUMIF($U$5:$U42,V42,$AK$5:$AK42)+SUMIF($V$5:$V42,V42,$AL$5:$AL42)+SUMIF($Y$5:$Y42,V42,$AA$5:$AA42)+SUMIF($AC$5:$AC42,V42,$AE$5:$AE42))))),IF(AF42&gt;0,AF42,0))</f>
        <v>0</v>
      </c>
      <c r="AE43" s="19">
        <f t="shared" si="35"/>
        <v>0</v>
      </c>
      <c r="AF43" s="19">
        <f t="shared" si="36"/>
        <v>0</v>
      </c>
      <c r="AG43" s="20">
        <f>IFERROR(IF(C43="Y",Settings!$B$4+Settings!$B$5,0),0)</f>
        <v>0</v>
      </c>
      <c r="AH43" s="21" t="str">
        <f>IFERROR(IF(U43="","",IFERROR(VLOOKUP(U43,'Bucket Status'!$A$4:$B$75,2,FALSE()),0)-(SUMIF($U$5:$U42,U43,$AK$5:$AK42)+SUMIF($V$5:$V42,U43,$AL$5:$AL42)+SUMIF($Y$5:$Y42,U43,$AA$5:$AA42)+SUMIF($AC$5:$AC42,U43,$AE$5:$AE42))),"")</f>
        <v/>
      </c>
      <c r="AI43" s="22" t="str">
        <f>IFERROR(IF(V43="","",IFERROR(VLOOKUP(V43,'Bucket Status'!$A$4:$B$75,2,FALSE()),0)-(SUMIF($U$5:$U42,V43,$AK$5:$AK42)+SUMIF($V$5:$V42,V43,$AL$5:$AL42)+SUMIF($Y$5:$Y42,V43,$AA$5:$AA42)+SUMIF($AC$5:$AC42,V43,$AE$5:$AE42))),"")</f>
        <v/>
      </c>
      <c r="AJ43" s="23" t="str">
        <f t="shared" si="37"/>
        <v/>
      </c>
      <c r="AK43" s="21" t="str">
        <f t="shared" si="38"/>
        <v/>
      </c>
      <c r="AL43" s="22" t="str">
        <f t="shared" si="39"/>
        <v/>
      </c>
    </row>
    <row r="44" spans="1:38" ht="18" customHeight="1" x14ac:dyDescent="0.3">
      <c r="A44" s="3"/>
      <c r="B44" s="50"/>
      <c r="C44" s="4"/>
      <c r="D44" s="5"/>
      <c r="E44" s="5"/>
      <c r="F44" s="6"/>
      <c r="G44" s="6"/>
      <c r="H44" s="7"/>
      <c r="I44" s="8" t="str">
        <f t="shared" si="24"/>
        <v/>
      </c>
      <c r="J44" s="9" t="str">
        <f t="shared" si="25"/>
        <v/>
      </c>
      <c r="K44" s="10" t="str">
        <f t="shared" si="26"/>
        <v/>
      </c>
      <c r="L44" s="11" t="str">
        <f t="shared" si="27"/>
        <v/>
      </c>
      <c r="M44" s="12" t="str">
        <f t="shared" si="28"/>
        <v/>
      </c>
      <c r="N44" s="13" t="str">
        <f t="shared" si="29"/>
        <v/>
      </c>
      <c r="O44" s="14" t="str">
        <f t="shared" si="30"/>
        <v/>
      </c>
      <c r="P44" s="15"/>
      <c r="Q44" s="16" t="str">
        <f t="shared" si="40"/>
        <v/>
      </c>
      <c r="R44" s="16" t="str">
        <f t="shared" si="41"/>
        <v/>
      </c>
      <c r="S44" s="17" t="str">
        <f t="shared" si="42"/>
        <v/>
      </c>
      <c r="T44" s="17" t="str">
        <f t="shared" si="43"/>
        <v/>
      </c>
      <c r="U44" s="16" t="str">
        <f t="shared" si="31"/>
        <v/>
      </c>
      <c r="V44" s="17" t="str">
        <f t="shared" si="32"/>
        <v/>
      </c>
      <c r="W44" s="18">
        <f t="shared" si="44"/>
        <v>0</v>
      </c>
      <c r="X44" s="18">
        <f t="shared" si="45"/>
        <v>0</v>
      </c>
      <c r="Y44" s="18" t="str">
        <f t="shared" si="46"/>
        <v/>
      </c>
      <c r="Z44" s="19">
        <f>IF(W44=1,MAX(0,MIN(Settings!$B$6,(IFERROR(VLOOKUP(U43,'Bucket Status'!$A$4:$B$75,2,FALSE()),0)-(SUMIF($U$5:$U43,U43,$AK$5:$AK43)+SUMIF($V$5:$V43,U43,$AL$5:$AL43)+SUMIF($Y$5:$Y43,U43,$AA$5:$AA43)+SUMIF($AC$5:$AC43,U43,$AE$5:$AE43))))),IF(AB43&gt;0,AB43,0))</f>
        <v>0</v>
      </c>
      <c r="AA44" s="19">
        <f t="shared" si="33"/>
        <v>0</v>
      </c>
      <c r="AB44" s="19">
        <f t="shared" si="34"/>
        <v>0</v>
      </c>
      <c r="AC44" s="18" t="str">
        <f t="shared" si="47"/>
        <v/>
      </c>
      <c r="AD44" s="19">
        <f>IF(X44=1,MAX(0,MIN(Settings!$B$6-Z44,(IFERROR(VLOOKUP(V43,'Bucket Status'!$A$4:$B$75,2,FALSE()),0)-(SUMIF($U$5:$U43,V43,$AK$5:$AK43)+SUMIF($V$5:$V43,V43,$AL$5:$AL43)+SUMIF($Y$5:$Y43,V43,$AA$5:$AA43)+SUMIF($AC$5:$AC43,V43,$AE$5:$AE43))))),IF(AF43&gt;0,AF43,0))</f>
        <v>0</v>
      </c>
      <c r="AE44" s="19">
        <f t="shared" si="35"/>
        <v>0</v>
      </c>
      <c r="AF44" s="19">
        <f t="shared" si="36"/>
        <v>0</v>
      </c>
      <c r="AG44" s="20">
        <f>IFERROR(IF(C44="Y",Settings!$B$4+Settings!$B$5,0),0)</f>
        <v>0</v>
      </c>
      <c r="AH44" s="21" t="str">
        <f>IFERROR(IF(U44="","",IFERROR(VLOOKUP(U44,'Bucket Status'!$A$4:$B$75,2,FALSE()),0)-(SUMIF($U$5:$U43,U44,$AK$5:$AK43)+SUMIF($V$5:$V43,U44,$AL$5:$AL43)+SUMIF($Y$5:$Y43,U44,$AA$5:$AA43)+SUMIF($AC$5:$AC43,U44,$AE$5:$AE43))),"")</f>
        <v/>
      </c>
      <c r="AI44" s="22" t="str">
        <f>IFERROR(IF(V44="","",IFERROR(VLOOKUP(V44,'Bucket Status'!$A$4:$B$75,2,FALSE()),0)-(SUMIF($U$5:$U43,V44,$AK$5:$AK43)+SUMIF($V$5:$V43,V44,$AL$5:$AL43)+SUMIF($Y$5:$Y43,V44,$AA$5:$AA43)+SUMIF($AC$5:$AC43,V44,$AE$5:$AE43))),"")</f>
        <v/>
      </c>
      <c r="AJ44" s="23" t="str">
        <f t="shared" si="37"/>
        <v/>
      </c>
      <c r="AK44" s="21" t="str">
        <f t="shared" si="38"/>
        <v/>
      </c>
      <c r="AL44" s="22" t="str">
        <f t="shared" si="39"/>
        <v/>
      </c>
    </row>
    <row r="45" spans="1:38" ht="18" customHeight="1" x14ac:dyDescent="0.3">
      <c r="A45" s="3"/>
      <c r="B45" s="50"/>
      <c r="C45" s="4"/>
      <c r="D45" s="5"/>
      <c r="E45" s="5"/>
      <c r="F45" s="6"/>
      <c r="G45" s="6"/>
      <c r="H45" s="7"/>
      <c r="I45" s="8" t="str">
        <f t="shared" si="24"/>
        <v/>
      </c>
      <c r="J45" s="9" t="str">
        <f t="shared" si="25"/>
        <v/>
      </c>
      <c r="K45" s="10" t="str">
        <f t="shared" si="26"/>
        <v/>
      </c>
      <c r="L45" s="11" t="str">
        <f t="shared" si="27"/>
        <v/>
      </c>
      <c r="M45" s="12" t="str">
        <f t="shared" si="28"/>
        <v/>
      </c>
      <c r="N45" s="13" t="str">
        <f t="shared" si="29"/>
        <v/>
      </c>
      <c r="O45" s="14" t="str">
        <f t="shared" si="30"/>
        <v/>
      </c>
      <c r="P45" s="15"/>
      <c r="Q45" s="16" t="str">
        <f t="shared" si="40"/>
        <v/>
      </c>
      <c r="R45" s="16" t="str">
        <f t="shared" si="41"/>
        <v/>
      </c>
      <c r="S45" s="17" t="str">
        <f t="shared" si="42"/>
        <v/>
      </c>
      <c r="T45" s="17" t="str">
        <f t="shared" si="43"/>
        <v/>
      </c>
      <c r="U45" s="16" t="str">
        <f t="shared" si="31"/>
        <v/>
      </c>
      <c r="V45" s="17" t="str">
        <f t="shared" si="32"/>
        <v/>
      </c>
      <c r="W45" s="18">
        <f t="shared" si="44"/>
        <v>0</v>
      </c>
      <c r="X45" s="18">
        <f t="shared" si="45"/>
        <v>0</v>
      </c>
      <c r="Y45" s="18" t="str">
        <f t="shared" si="46"/>
        <v/>
      </c>
      <c r="Z45" s="19">
        <f>IF(W45=1,MAX(0,MIN(Settings!$B$6,(IFERROR(VLOOKUP(U44,'Bucket Status'!$A$4:$B$75,2,FALSE()),0)-(SUMIF($U$5:$U44,U44,$AK$5:$AK44)+SUMIF($V$5:$V44,U44,$AL$5:$AL44)+SUMIF($Y$5:$Y44,U44,$AA$5:$AA44)+SUMIF($AC$5:$AC44,U44,$AE$5:$AE44))))),IF(AB44&gt;0,AB44,0))</f>
        <v>0</v>
      </c>
      <c r="AA45" s="19">
        <f t="shared" si="33"/>
        <v>0</v>
      </c>
      <c r="AB45" s="19">
        <f t="shared" si="34"/>
        <v>0</v>
      </c>
      <c r="AC45" s="18" t="str">
        <f t="shared" si="47"/>
        <v/>
      </c>
      <c r="AD45" s="19">
        <f>IF(X45=1,MAX(0,MIN(Settings!$B$6-Z45,(IFERROR(VLOOKUP(V44,'Bucket Status'!$A$4:$B$75,2,FALSE()),0)-(SUMIF($U$5:$U44,V44,$AK$5:$AK44)+SUMIF($V$5:$V44,V44,$AL$5:$AL44)+SUMIF($Y$5:$Y44,V44,$AA$5:$AA44)+SUMIF($AC$5:$AC44,V44,$AE$5:$AE44))))),IF(AF44&gt;0,AF44,0))</f>
        <v>0</v>
      </c>
      <c r="AE45" s="19">
        <f t="shared" si="35"/>
        <v>0</v>
      </c>
      <c r="AF45" s="19">
        <f t="shared" si="36"/>
        <v>0</v>
      </c>
      <c r="AG45" s="20">
        <f>IFERROR(IF(C45="Y",Settings!$B$4+Settings!$B$5,0),0)</f>
        <v>0</v>
      </c>
      <c r="AH45" s="21" t="str">
        <f>IFERROR(IF(U45="","",IFERROR(VLOOKUP(U45,'Bucket Status'!$A$4:$B$75,2,FALSE()),0)-(SUMIF($U$5:$U44,U45,$AK$5:$AK44)+SUMIF($V$5:$V44,U45,$AL$5:$AL44)+SUMIF($Y$5:$Y44,U45,$AA$5:$AA44)+SUMIF($AC$5:$AC44,U45,$AE$5:$AE44))),"")</f>
        <v/>
      </c>
      <c r="AI45" s="22" t="str">
        <f>IFERROR(IF(V45="","",IFERROR(VLOOKUP(V45,'Bucket Status'!$A$4:$B$75,2,FALSE()),0)-(SUMIF($U$5:$U44,V45,$AK$5:$AK44)+SUMIF($V$5:$V44,V45,$AL$5:$AL44)+SUMIF($Y$5:$Y44,V45,$AA$5:$AA44)+SUMIF($AC$5:$AC44,V45,$AE$5:$AE44))),"")</f>
        <v/>
      </c>
      <c r="AJ45" s="23" t="str">
        <f t="shared" si="37"/>
        <v/>
      </c>
      <c r="AK45" s="21" t="str">
        <f t="shared" si="38"/>
        <v/>
      </c>
      <c r="AL45" s="22" t="str">
        <f t="shared" si="39"/>
        <v/>
      </c>
    </row>
    <row r="46" spans="1:38" ht="18" customHeight="1" x14ac:dyDescent="0.3">
      <c r="A46" s="3"/>
      <c r="B46" s="50"/>
      <c r="C46" s="4"/>
      <c r="D46" s="5"/>
      <c r="E46" s="5"/>
      <c r="F46" s="6"/>
      <c r="G46" s="6"/>
      <c r="H46" s="7"/>
      <c r="I46" s="8" t="str">
        <f t="shared" si="24"/>
        <v/>
      </c>
      <c r="J46" s="9" t="str">
        <f t="shared" si="25"/>
        <v/>
      </c>
      <c r="K46" s="10" t="str">
        <f t="shared" si="26"/>
        <v/>
      </c>
      <c r="L46" s="11" t="str">
        <f t="shared" si="27"/>
        <v/>
      </c>
      <c r="M46" s="12" t="str">
        <f t="shared" si="28"/>
        <v/>
      </c>
      <c r="N46" s="13" t="str">
        <f t="shared" si="29"/>
        <v/>
      </c>
      <c r="O46" s="14" t="str">
        <f t="shared" si="30"/>
        <v/>
      </c>
      <c r="P46" s="15"/>
      <c r="Q46" s="16" t="str">
        <f t="shared" si="40"/>
        <v/>
      </c>
      <c r="R46" s="16" t="str">
        <f t="shared" si="41"/>
        <v/>
      </c>
      <c r="S46" s="17" t="str">
        <f t="shared" si="42"/>
        <v/>
      </c>
      <c r="T46" s="17" t="str">
        <f t="shared" si="43"/>
        <v/>
      </c>
      <c r="U46" s="16" t="str">
        <f t="shared" si="31"/>
        <v/>
      </c>
      <c r="V46" s="17" t="str">
        <f t="shared" si="32"/>
        <v/>
      </c>
      <c r="W46" s="18">
        <f t="shared" si="44"/>
        <v>0</v>
      </c>
      <c r="X46" s="18">
        <f t="shared" si="45"/>
        <v>0</v>
      </c>
      <c r="Y46" s="18" t="str">
        <f t="shared" si="46"/>
        <v/>
      </c>
      <c r="Z46" s="19">
        <f>IF(W46=1,MAX(0,MIN(Settings!$B$6,(IFERROR(VLOOKUP(U45,'Bucket Status'!$A$4:$B$75,2,FALSE()),0)-(SUMIF($U$5:$U45,U45,$AK$5:$AK45)+SUMIF($V$5:$V45,U45,$AL$5:$AL45)+SUMIF($Y$5:$Y45,U45,$AA$5:$AA45)+SUMIF($AC$5:$AC45,U45,$AE$5:$AE45))))),IF(AB45&gt;0,AB45,0))</f>
        <v>0</v>
      </c>
      <c r="AA46" s="19">
        <f t="shared" si="33"/>
        <v>0</v>
      </c>
      <c r="AB46" s="19">
        <f t="shared" si="34"/>
        <v>0</v>
      </c>
      <c r="AC46" s="18" t="str">
        <f t="shared" si="47"/>
        <v/>
      </c>
      <c r="AD46" s="19">
        <f>IF(X46=1,MAX(0,MIN(Settings!$B$6-Z46,(IFERROR(VLOOKUP(V45,'Bucket Status'!$A$4:$B$75,2,FALSE()),0)-(SUMIF($U$5:$U45,V45,$AK$5:$AK45)+SUMIF($V$5:$V45,V45,$AL$5:$AL45)+SUMIF($Y$5:$Y45,V45,$AA$5:$AA45)+SUMIF($AC$5:$AC45,V45,$AE$5:$AE45))))),IF(AF45&gt;0,AF45,0))</f>
        <v>0</v>
      </c>
      <c r="AE46" s="19">
        <f t="shared" si="35"/>
        <v>0</v>
      </c>
      <c r="AF46" s="19">
        <f t="shared" si="36"/>
        <v>0</v>
      </c>
      <c r="AG46" s="20">
        <f>IFERROR(IF(C46="Y",Settings!$B$4+Settings!$B$5,0),0)</f>
        <v>0</v>
      </c>
      <c r="AH46" s="21" t="str">
        <f>IFERROR(IF(U46="","",IFERROR(VLOOKUP(U46,'Bucket Status'!$A$4:$B$75,2,FALSE()),0)-(SUMIF($U$5:$U45,U46,$AK$5:$AK45)+SUMIF($V$5:$V45,U46,$AL$5:$AL45)+SUMIF($Y$5:$Y45,U46,$AA$5:$AA45)+SUMIF($AC$5:$AC45,U46,$AE$5:$AE45))),"")</f>
        <v/>
      </c>
      <c r="AI46" s="22" t="str">
        <f>IFERROR(IF(V46="","",IFERROR(VLOOKUP(V46,'Bucket Status'!$A$4:$B$75,2,FALSE()),0)-(SUMIF($U$5:$U45,V46,$AK$5:$AK45)+SUMIF($V$5:$V45,V46,$AL$5:$AL45)+SUMIF($Y$5:$Y45,V46,$AA$5:$AA45)+SUMIF($AC$5:$AC45,V46,$AE$5:$AE45))),"")</f>
        <v/>
      </c>
      <c r="AJ46" s="23" t="str">
        <f t="shared" si="37"/>
        <v/>
      </c>
      <c r="AK46" s="21" t="str">
        <f t="shared" si="38"/>
        <v/>
      </c>
      <c r="AL46" s="22" t="str">
        <f t="shared" si="39"/>
        <v/>
      </c>
    </row>
    <row r="47" spans="1:38" ht="18" customHeight="1" x14ac:dyDescent="0.3">
      <c r="A47" s="3"/>
      <c r="B47" s="50"/>
      <c r="C47" s="4"/>
      <c r="D47" s="5"/>
      <c r="E47" s="5"/>
      <c r="F47" s="6"/>
      <c r="G47" s="6"/>
      <c r="H47" s="7"/>
      <c r="I47" s="8" t="str">
        <f t="shared" si="24"/>
        <v/>
      </c>
      <c r="J47" s="9" t="str">
        <f t="shared" si="25"/>
        <v/>
      </c>
      <c r="K47" s="10" t="str">
        <f t="shared" si="26"/>
        <v/>
      </c>
      <c r="L47" s="11" t="str">
        <f t="shared" si="27"/>
        <v/>
      </c>
      <c r="M47" s="12" t="str">
        <f t="shared" si="28"/>
        <v/>
      </c>
      <c r="N47" s="13" t="str">
        <f t="shared" si="29"/>
        <v/>
      </c>
      <c r="O47" s="14" t="str">
        <f t="shared" si="30"/>
        <v/>
      </c>
      <c r="P47" s="15"/>
      <c r="Q47" s="16" t="str">
        <f t="shared" si="40"/>
        <v/>
      </c>
      <c r="R47" s="16" t="str">
        <f t="shared" si="41"/>
        <v/>
      </c>
      <c r="S47" s="17" t="str">
        <f t="shared" si="42"/>
        <v/>
      </c>
      <c r="T47" s="17" t="str">
        <f t="shared" si="43"/>
        <v/>
      </c>
      <c r="U47" s="16" t="str">
        <f t="shared" si="31"/>
        <v/>
      </c>
      <c r="V47" s="17" t="str">
        <f t="shared" si="32"/>
        <v/>
      </c>
      <c r="W47" s="18">
        <f t="shared" si="44"/>
        <v>0</v>
      </c>
      <c r="X47" s="18">
        <f t="shared" si="45"/>
        <v>0</v>
      </c>
      <c r="Y47" s="18" t="str">
        <f t="shared" si="46"/>
        <v/>
      </c>
      <c r="Z47" s="19">
        <f>IF(W47=1,MAX(0,MIN(Settings!$B$6,(IFERROR(VLOOKUP(U46,'Bucket Status'!$A$4:$B$75,2,FALSE()),0)-(SUMIF($U$5:$U46,U46,$AK$5:$AK46)+SUMIF($V$5:$V46,U46,$AL$5:$AL46)+SUMIF($Y$5:$Y46,U46,$AA$5:$AA46)+SUMIF($AC$5:$AC46,U46,$AE$5:$AE46))))),IF(AB46&gt;0,AB46,0))</f>
        <v>0</v>
      </c>
      <c r="AA47" s="19">
        <f t="shared" si="33"/>
        <v>0</v>
      </c>
      <c r="AB47" s="19">
        <f t="shared" si="34"/>
        <v>0</v>
      </c>
      <c r="AC47" s="18" t="str">
        <f t="shared" si="47"/>
        <v/>
      </c>
      <c r="AD47" s="19">
        <f>IF(X47=1,MAX(0,MIN(Settings!$B$6-Z47,(IFERROR(VLOOKUP(V46,'Bucket Status'!$A$4:$B$75,2,FALSE()),0)-(SUMIF($U$5:$U46,V46,$AK$5:$AK46)+SUMIF($V$5:$V46,V46,$AL$5:$AL46)+SUMIF($Y$5:$Y46,V46,$AA$5:$AA46)+SUMIF($AC$5:$AC46,V46,$AE$5:$AE46))))),IF(AF46&gt;0,AF46,0))</f>
        <v>0</v>
      </c>
      <c r="AE47" s="19">
        <f t="shared" si="35"/>
        <v>0</v>
      </c>
      <c r="AF47" s="19">
        <f t="shared" si="36"/>
        <v>0</v>
      </c>
      <c r="AG47" s="20">
        <f>IFERROR(IF(C47="Y",Settings!$B$4+Settings!$B$5,0),0)</f>
        <v>0</v>
      </c>
      <c r="AH47" s="21" t="str">
        <f>IFERROR(IF(U47="","",IFERROR(VLOOKUP(U47,'Bucket Status'!$A$4:$B$75,2,FALSE()),0)-(SUMIF($U$5:$U46,U47,$AK$5:$AK46)+SUMIF($V$5:$V46,U47,$AL$5:$AL46)+SUMIF($Y$5:$Y46,U47,$AA$5:$AA46)+SUMIF($AC$5:$AC46,U47,$AE$5:$AE46))),"")</f>
        <v/>
      </c>
      <c r="AI47" s="22" t="str">
        <f>IFERROR(IF(V47="","",IFERROR(VLOOKUP(V47,'Bucket Status'!$A$4:$B$75,2,FALSE()),0)-(SUMIF($U$5:$U46,V47,$AK$5:$AK46)+SUMIF($V$5:$V46,V47,$AL$5:$AL46)+SUMIF($Y$5:$Y46,V47,$AA$5:$AA46)+SUMIF($AC$5:$AC46,V47,$AE$5:$AE46))),"")</f>
        <v/>
      </c>
      <c r="AJ47" s="23" t="str">
        <f t="shared" si="37"/>
        <v/>
      </c>
      <c r="AK47" s="21" t="str">
        <f t="shared" si="38"/>
        <v/>
      </c>
      <c r="AL47" s="22" t="str">
        <f t="shared" si="39"/>
        <v/>
      </c>
    </row>
    <row r="48" spans="1:38" ht="18" customHeight="1" x14ac:dyDescent="0.3">
      <c r="A48" s="3"/>
      <c r="B48" s="50"/>
      <c r="C48" s="4"/>
      <c r="D48" s="5"/>
      <c r="E48" s="5"/>
      <c r="F48" s="6"/>
      <c r="G48" s="6"/>
      <c r="H48" s="7"/>
      <c r="I48" s="8" t="str">
        <f t="shared" si="24"/>
        <v/>
      </c>
      <c r="J48" s="9" t="str">
        <f t="shared" si="25"/>
        <v/>
      </c>
      <c r="K48" s="10" t="str">
        <f t="shared" si="26"/>
        <v/>
      </c>
      <c r="L48" s="11" t="str">
        <f t="shared" si="27"/>
        <v/>
      </c>
      <c r="M48" s="12" t="str">
        <f t="shared" si="28"/>
        <v/>
      </c>
      <c r="N48" s="13" t="str">
        <f t="shared" si="29"/>
        <v/>
      </c>
      <c r="O48" s="14" t="str">
        <f t="shared" si="30"/>
        <v/>
      </c>
      <c r="P48" s="15"/>
      <c r="Q48" s="16" t="str">
        <f t="shared" si="40"/>
        <v/>
      </c>
      <c r="R48" s="16" t="str">
        <f t="shared" si="41"/>
        <v/>
      </c>
      <c r="S48" s="17" t="str">
        <f t="shared" si="42"/>
        <v/>
      </c>
      <c r="T48" s="17" t="str">
        <f t="shared" si="43"/>
        <v/>
      </c>
      <c r="U48" s="16" t="str">
        <f t="shared" si="31"/>
        <v/>
      </c>
      <c r="V48" s="17" t="str">
        <f t="shared" si="32"/>
        <v/>
      </c>
      <c r="W48" s="18">
        <f t="shared" si="44"/>
        <v>0</v>
      </c>
      <c r="X48" s="18">
        <f t="shared" si="45"/>
        <v>0</v>
      </c>
      <c r="Y48" s="18" t="str">
        <f t="shared" si="46"/>
        <v/>
      </c>
      <c r="Z48" s="19">
        <f>IF(W48=1,MAX(0,MIN(Settings!$B$6,(IFERROR(VLOOKUP(U47,'Bucket Status'!$A$4:$B$75,2,FALSE()),0)-(SUMIF($U$5:$U47,U47,$AK$5:$AK47)+SUMIF($V$5:$V47,U47,$AL$5:$AL47)+SUMIF($Y$5:$Y47,U47,$AA$5:$AA47)+SUMIF($AC$5:$AC47,U47,$AE$5:$AE47))))),IF(AB47&gt;0,AB47,0))</f>
        <v>0</v>
      </c>
      <c r="AA48" s="19">
        <f t="shared" si="33"/>
        <v>0</v>
      </c>
      <c r="AB48" s="19">
        <f t="shared" si="34"/>
        <v>0</v>
      </c>
      <c r="AC48" s="18" t="str">
        <f t="shared" si="47"/>
        <v/>
      </c>
      <c r="AD48" s="19">
        <f>IF(X48=1,MAX(0,MIN(Settings!$B$6-Z48,(IFERROR(VLOOKUP(V47,'Bucket Status'!$A$4:$B$75,2,FALSE()),0)-(SUMIF($U$5:$U47,V47,$AK$5:$AK47)+SUMIF($V$5:$V47,V47,$AL$5:$AL47)+SUMIF($Y$5:$Y47,V47,$AA$5:$AA47)+SUMIF($AC$5:$AC47,V47,$AE$5:$AE47))))),IF(AF47&gt;0,AF47,0))</f>
        <v>0</v>
      </c>
      <c r="AE48" s="19">
        <f t="shared" si="35"/>
        <v>0</v>
      </c>
      <c r="AF48" s="19">
        <f t="shared" si="36"/>
        <v>0</v>
      </c>
      <c r="AG48" s="20">
        <f>IFERROR(IF(C48="Y",Settings!$B$4+Settings!$B$5,0),0)</f>
        <v>0</v>
      </c>
      <c r="AH48" s="21" t="str">
        <f>IFERROR(IF(U48="","",IFERROR(VLOOKUP(U48,'Bucket Status'!$A$4:$B$75,2,FALSE()),0)-(SUMIF($U$5:$U47,U48,$AK$5:$AK47)+SUMIF($V$5:$V47,U48,$AL$5:$AL47)+SUMIF($Y$5:$Y47,U48,$AA$5:$AA47)+SUMIF($AC$5:$AC47,U48,$AE$5:$AE47))),"")</f>
        <v/>
      </c>
      <c r="AI48" s="22" t="str">
        <f>IFERROR(IF(V48="","",IFERROR(VLOOKUP(V48,'Bucket Status'!$A$4:$B$75,2,FALSE()),0)-(SUMIF($U$5:$U47,V48,$AK$5:$AK47)+SUMIF($V$5:$V47,V48,$AL$5:$AL47)+SUMIF($Y$5:$Y47,V48,$AA$5:$AA47)+SUMIF($AC$5:$AC47,V48,$AE$5:$AE47))),"")</f>
        <v/>
      </c>
      <c r="AJ48" s="23" t="str">
        <f t="shared" si="37"/>
        <v/>
      </c>
      <c r="AK48" s="21" t="str">
        <f t="shared" si="38"/>
        <v/>
      </c>
      <c r="AL48" s="22" t="str">
        <f t="shared" si="39"/>
        <v/>
      </c>
    </row>
    <row r="49" spans="1:38" ht="18" customHeight="1" x14ac:dyDescent="0.3">
      <c r="A49" s="3"/>
      <c r="B49" s="50"/>
      <c r="C49" s="4"/>
      <c r="D49" s="5"/>
      <c r="E49" s="5"/>
      <c r="F49" s="6"/>
      <c r="G49" s="6"/>
      <c r="H49" s="7"/>
      <c r="I49" s="8" t="str">
        <f t="shared" si="24"/>
        <v/>
      </c>
      <c r="J49" s="9" t="str">
        <f t="shared" si="25"/>
        <v/>
      </c>
      <c r="K49" s="10" t="str">
        <f t="shared" si="26"/>
        <v/>
      </c>
      <c r="L49" s="11" t="str">
        <f t="shared" si="27"/>
        <v/>
      </c>
      <c r="M49" s="12" t="str">
        <f t="shared" si="28"/>
        <v/>
      </c>
      <c r="N49" s="13" t="str">
        <f t="shared" si="29"/>
        <v/>
      </c>
      <c r="O49" s="14" t="str">
        <f t="shared" si="30"/>
        <v/>
      </c>
      <c r="P49" s="15"/>
      <c r="Q49" s="16" t="str">
        <f t="shared" si="40"/>
        <v/>
      </c>
      <c r="R49" s="16" t="str">
        <f t="shared" si="41"/>
        <v/>
      </c>
      <c r="S49" s="17" t="str">
        <f t="shared" si="42"/>
        <v/>
      </c>
      <c r="T49" s="17" t="str">
        <f t="shared" si="43"/>
        <v/>
      </c>
      <c r="U49" s="16" t="str">
        <f t="shared" si="31"/>
        <v/>
      </c>
      <c r="V49" s="17" t="str">
        <f t="shared" si="32"/>
        <v/>
      </c>
      <c r="W49" s="18">
        <f t="shared" si="44"/>
        <v>0</v>
      </c>
      <c r="X49" s="18">
        <f t="shared" si="45"/>
        <v>0</v>
      </c>
      <c r="Y49" s="18" t="str">
        <f t="shared" si="46"/>
        <v/>
      </c>
      <c r="Z49" s="19">
        <f>IF(W49=1,MAX(0,MIN(Settings!$B$6,(IFERROR(VLOOKUP(U48,'Bucket Status'!$A$4:$B$75,2,FALSE()),0)-(SUMIF($U$5:$U48,U48,$AK$5:$AK48)+SUMIF($V$5:$V48,U48,$AL$5:$AL48)+SUMIF($Y$5:$Y48,U48,$AA$5:$AA48)+SUMIF($AC$5:$AC48,U48,$AE$5:$AE48))))),IF(AB48&gt;0,AB48,0))</f>
        <v>0</v>
      </c>
      <c r="AA49" s="19">
        <f t="shared" si="33"/>
        <v>0</v>
      </c>
      <c r="AB49" s="19">
        <f t="shared" si="34"/>
        <v>0</v>
      </c>
      <c r="AC49" s="18" t="str">
        <f t="shared" si="47"/>
        <v/>
      </c>
      <c r="AD49" s="19">
        <f>IF(X49=1,MAX(0,MIN(Settings!$B$6-Z49,(IFERROR(VLOOKUP(V48,'Bucket Status'!$A$4:$B$75,2,FALSE()),0)-(SUMIF($U$5:$U48,V48,$AK$5:$AK48)+SUMIF($V$5:$V48,V48,$AL$5:$AL48)+SUMIF($Y$5:$Y48,V48,$AA$5:$AA48)+SUMIF($AC$5:$AC48,V48,$AE$5:$AE48))))),IF(AF48&gt;0,AF48,0))</f>
        <v>0</v>
      </c>
      <c r="AE49" s="19">
        <f t="shared" si="35"/>
        <v>0</v>
      </c>
      <c r="AF49" s="19">
        <f t="shared" si="36"/>
        <v>0</v>
      </c>
      <c r="AG49" s="20">
        <f>IFERROR(IF(C49="Y",Settings!$B$4+Settings!$B$5,0),0)</f>
        <v>0</v>
      </c>
      <c r="AH49" s="21" t="str">
        <f>IFERROR(IF(U49="","",IFERROR(VLOOKUP(U49,'Bucket Status'!$A$4:$B$75,2,FALSE()),0)-(SUMIF($U$5:$U48,U49,$AK$5:$AK48)+SUMIF($V$5:$V48,U49,$AL$5:$AL48)+SUMIF($Y$5:$Y48,U49,$AA$5:$AA48)+SUMIF($AC$5:$AC48,U49,$AE$5:$AE48))),"")</f>
        <v/>
      </c>
      <c r="AI49" s="22" t="str">
        <f>IFERROR(IF(V49="","",IFERROR(VLOOKUP(V49,'Bucket Status'!$A$4:$B$75,2,FALSE()),0)-(SUMIF($U$5:$U48,V49,$AK$5:$AK48)+SUMIF($V$5:$V48,V49,$AL$5:$AL48)+SUMIF($Y$5:$Y48,V49,$AA$5:$AA48)+SUMIF($AC$5:$AC48,V49,$AE$5:$AE48))),"")</f>
        <v/>
      </c>
      <c r="AJ49" s="23" t="str">
        <f t="shared" si="37"/>
        <v/>
      </c>
      <c r="AK49" s="21" t="str">
        <f t="shared" si="38"/>
        <v/>
      </c>
      <c r="AL49" s="22" t="str">
        <f t="shared" si="39"/>
        <v/>
      </c>
    </row>
    <row r="50" spans="1:38" ht="18" customHeight="1" x14ac:dyDescent="0.3">
      <c r="A50" s="3"/>
      <c r="B50" s="50"/>
      <c r="C50" s="4"/>
      <c r="D50" s="5"/>
      <c r="E50" s="5"/>
      <c r="F50" s="6"/>
      <c r="G50" s="6"/>
      <c r="H50" s="7"/>
      <c r="I50" s="8" t="str">
        <f t="shared" si="24"/>
        <v/>
      </c>
      <c r="J50" s="9" t="str">
        <f t="shared" si="25"/>
        <v/>
      </c>
      <c r="K50" s="10" t="str">
        <f t="shared" si="26"/>
        <v/>
      </c>
      <c r="L50" s="11" t="str">
        <f t="shared" si="27"/>
        <v/>
      </c>
      <c r="M50" s="12" t="str">
        <f t="shared" si="28"/>
        <v/>
      </c>
      <c r="N50" s="13" t="str">
        <f t="shared" si="29"/>
        <v/>
      </c>
      <c r="O50" s="14" t="str">
        <f t="shared" si="30"/>
        <v/>
      </c>
      <c r="P50" s="15"/>
      <c r="Q50" s="16" t="str">
        <f t="shared" si="40"/>
        <v/>
      </c>
      <c r="R50" s="16" t="str">
        <f t="shared" si="41"/>
        <v/>
      </c>
      <c r="S50" s="17" t="str">
        <f t="shared" si="42"/>
        <v/>
      </c>
      <c r="T50" s="17" t="str">
        <f t="shared" si="43"/>
        <v/>
      </c>
      <c r="U50" s="16" t="str">
        <f t="shared" si="31"/>
        <v/>
      </c>
      <c r="V50" s="17" t="str">
        <f t="shared" si="32"/>
        <v/>
      </c>
      <c r="W50" s="18">
        <f t="shared" si="44"/>
        <v>0</v>
      </c>
      <c r="X50" s="18">
        <f t="shared" si="45"/>
        <v>0</v>
      </c>
      <c r="Y50" s="18" t="str">
        <f t="shared" si="46"/>
        <v/>
      </c>
      <c r="Z50" s="19">
        <f>IF(W50=1,MAX(0,MIN(Settings!$B$6,(IFERROR(VLOOKUP(U49,'Bucket Status'!$A$4:$B$75,2,FALSE()),0)-(SUMIF($U$5:$U49,U49,$AK$5:$AK49)+SUMIF($V$5:$V49,U49,$AL$5:$AL49)+SUMIF($Y$5:$Y49,U49,$AA$5:$AA49)+SUMIF($AC$5:$AC49,U49,$AE$5:$AE49))))),IF(AB49&gt;0,AB49,0))</f>
        <v>0</v>
      </c>
      <c r="AA50" s="19">
        <f t="shared" si="33"/>
        <v>0</v>
      </c>
      <c r="AB50" s="19">
        <f t="shared" si="34"/>
        <v>0</v>
      </c>
      <c r="AC50" s="18" t="str">
        <f t="shared" si="47"/>
        <v/>
      </c>
      <c r="AD50" s="19">
        <f>IF(X50=1,MAX(0,MIN(Settings!$B$6-Z50,(IFERROR(VLOOKUP(V49,'Bucket Status'!$A$4:$B$75,2,FALSE()),0)-(SUMIF($U$5:$U49,V49,$AK$5:$AK49)+SUMIF($V$5:$V49,V49,$AL$5:$AL49)+SUMIF($Y$5:$Y49,V49,$AA$5:$AA49)+SUMIF($AC$5:$AC49,V49,$AE$5:$AE49))))),IF(AF49&gt;0,AF49,0))</f>
        <v>0</v>
      </c>
      <c r="AE50" s="19">
        <f t="shared" si="35"/>
        <v>0</v>
      </c>
      <c r="AF50" s="19">
        <f t="shared" si="36"/>
        <v>0</v>
      </c>
      <c r="AG50" s="20">
        <f>IFERROR(IF(C50="Y",Settings!$B$4+Settings!$B$5,0),0)</f>
        <v>0</v>
      </c>
      <c r="AH50" s="21" t="str">
        <f>IFERROR(IF(U50="","",IFERROR(VLOOKUP(U50,'Bucket Status'!$A$4:$B$75,2,FALSE()),0)-(SUMIF($U$5:$U49,U50,$AK$5:$AK49)+SUMIF($V$5:$V49,U50,$AL$5:$AL49)+SUMIF($Y$5:$Y49,U50,$AA$5:$AA49)+SUMIF($AC$5:$AC49,U50,$AE$5:$AE49))),"")</f>
        <v/>
      </c>
      <c r="AI50" s="22" t="str">
        <f>IFERROR(IF(V50="","",IFERROR(VLOOKUP(V50,'Bucket Status'!$A$4:$B$75,2,FALSE()),0)-(SUMIF($U$5:$U49,V50,$AK$5:$AK49)+SUMIF($V$5:$V49,V50,$AL$5:$AL49)+SUMIF($Y$5:$Y49,V50,$AA$5:$AA49)+SUMIF($AC$5:$AC49,V50,$AE$5:$AE49))),"")</f>
        <v/>
      </c>
      <c r="AJ50" s="23" t="str">
        <f t="shared" si="37"/>
        <v/>
      </c>
      <c r="AK50" s="21" t="str">
        <f t="shared" si="38"/>
        <v/>
      </c>
      <c r="AL50" s="22" t="str">
        <f t="shared" si="39"/>
        <v/>
      </c>
    </row>
    <row r="51" spans="1:38" ht="18" customHeight="1" x14ac:dyDescent="0.3">
      <c r="A51" s="3"/>
      <c r="B51" s="50"/>
      <c r="C51" s="4"/>
      <c r="D51" s="5"/>
      <c r="E51" s="5"/>
      <c r="F51" s="6"/>
      <c r="G51" s="6"/>
      <c r="H51" s="7"/>
      <c r="I51" s="8" t="str">
        <f t="shared" si="24"/>
        <v/>
      </c>
      <c r="J51" s="9" t="str">
        <f t="shared" si="25"/>
        <v/>
      </c>
      <c r="K51" s="10" t="str">
        <f t="shared" si="26"/>
        <v/>
      </c>
      <c r="L51" s="11" t="str">
        <f t="shared" si="27"/>
        <v/>
      </c>
      <c r="M51" s="12" t="str">
        <f t="shared" si="28"/>
        <v/>
      </c>
      <c r="N51" s="13" t="str">
        <f t="shared" si="29"/>
        <v/>
      </c>
      <c r="O51" s="14" t="str">
        <f t="shared" si="30"/>
        <v/>
      </c>
      <c r="P51" s="15"/>
      <c r="Q51" s="16" t="str">
        <f t="shared" si="40"/>
        <v/>
      </c>
      <c r="R51" s="16" t="str">
        <f t="shared" si="41"/>
        <v/>
      </c>
      <c r="S51" s="17" t="str">
        <f t="shared" si="42"/>
        <v/>
      </c>
      <c r="T51" s="17" t="str">
        <f t="shared" si="43"/>
        <v/>
      </c>
      <c r="U51" s="16" t="str">
        <f t="shared" si="31"/>
        <v/>
      </c>
      <c r="V51" s="17" t="str">
        <f t="shared" si="32"/>
        <v/>
      </c>
      <c r="W51" s="18">
        <f t="shared" si="44"/>
        <v>0</v>
      </c>
      <c r="X51" s="18">
        <f t="shared" si="45"/>
        <v>0</v>
      </c>
      <c r="Y51" s="18" t="str">
        <f t="shared" si="46"/>
        <v/>
      </c>
      <c r="Z51" s="19">
        <f>IF(W51=1,MAX(0,MIN(Settings!$B$6,(IFERROR(VLOOKUP(U50,'Bucket Status'!$A$4:$B$75,2,FALSE()),0)-(SUMIF($U$5:$U50,U50,$AK$5:$AK50)+SUMIF($V$5:$V50,U50,$AL$5:$AL50)+SUMIF($Y$5:$Y50,U50,$AA$5:$AA50)+SUMIF($AC$5:$AC50,U50,$AE$5:$AE50))))),IF(AB50&gt;0,AB50,0))</f>
        <v>0</v>
      </c>
      <c r="AA51" s="19">
        <f t="shared" si="33"/>
        <v>0</v>
      </c>
      <c r="AB51" s="19">
        <f t="shared" si="34"/>
        <v>0</v>
      </c>
      <c r="AC51" s="18" t="str">
        <f t="shared" si="47"/>
        <v/>
      </c>
      <c r="AD51" s="19">
        <f>IF(X51=1,MAX(0,MIN(Settings!$B$6-Z51,(IFERROR(VLOOKUP(V50,'Bucket Status'!$A$4:$B$75,2,FALSE()),0)-(SUMIF($U$5:$U50,V50,$AK$5:$AK50)+SUMIF($V$5:$V50,V50,$AL$5:$AL50)+SUMIF($Y$5:$Y50,V50,$AA$5:$AA50)+SUMIF($AC$5:$AC50,V50,$AE$5:$AE50))))),IF(AF50&gt;0,AF50,0))</f>
        <v>0</v>
      </c>
      <c r="AE51" s="19">
        <f t="shared" si="35"/>
        <v>0</v>
      </c>
      <c r="AF51" s="19">
        <f t="shared" si="36"/>
        <v>0</v>
      </c>
      <c r="AG51" s="20">
        <f>IFERROR(IF(C51="Y",Settings!$B$4+Settings!$B$5,0),0)</f>
        <v>0</v>
      </c>
      <c r="AH51" s="21" t="str">
        <f>IFERROR(IF(U51="","",IFERROR(VLOOKUP(U51,'Bucket Status'!$A$4:$B$75,2,FALSE()),0)-(SUMIF($U$5:$U50,U51,$AK$5:$AK50)+SUMIF($V$5:$V50,U51,$AL$5:$AL50)+SUMIF($Y$5:$Y50,U51,$AA$5:$AA50)+SUMIF($AC$5:$AC50,U51,$AE$5:$AE50))),"")</f>
        <v/>
      </c>
      <c r="AI51" s="22" t="str">
        <f>IFERROR(IF(V51="","",IFERROR(VLOOKUP(V51,'Bucket Status'!$A$4:$B$75,2,FALSE()),0)-(SUMIF($U$5:$U50,V51,$AK$5:$AK50)+SUMIF($V$5:$V50,V51,$AL$5:$AL50)+SUMIF($Y$5:$Y50,V51,$AA$5:$AA50)+SUMIF($AC$5:$AC50,V51,$AE$5:$AE50))),"")</f>
        <v/>
      </c>
      <c r="AJ51" s="23" t="str">
        <f t="shared" si="37"/>
        <v/>
      </c>
      <c r="AK51" s="21" t="str">
        <f t="shared" si="38"/>
        <v/>
      </c>
      <c r="AL51" s="22" t="str">
        <f t="shared" si="39"/>
        <v/>
      </c>
    </row>
    <row r="52" spans="1:38" ht="18" customHeight="1" x14ac:dyDescent="0.3">
      <c r="A52" s="3"/>
      <c r="B52" s="50"/>
      <c r="C52" s="4"/>
      <c r="D52" s="5"/>
      <c r="E52" s="5"/>
      <c r="F52" s="6"/>
      <c r="G52" s="6"/>
      <c r="H52" s="7"/>
      <c r="I52" s="8" t="str">
        <f t="shared" si="24"/>
        <v/>
      </c>
      <c r="J52" s="9" t="str">
        <f t="shared" si="25"/>
        <v/>
      </c>
      <c r="K52" s="10" t="str">
        <f t="shared" si="26"/>
        <v/>
      </c>
      <c r="L52" s="11" t="str">
        <f t="shared" si="27"/>
        <v/>
      </c>
      <c r="M52" s="12" t="str">
        <f t="shared" si="28"/>
        <v/>
      </c>
      <c r="N52" s="13" t="str">
        <f t="shared" si="29"/>
        <v/>
      </c>
      <c r="O52" s="14" t="str">
        <f t="shared" si="30"/>
        <v/>
      </c>
      <c r="P52" s="15"/>
      <c r="Q52" s="16" t="str">
        <f t="shared" si="40"/>
        <v/>
      </c>
      <c r="R52" s="16" t="str">
        <f t="shared" si="41"/>
        <v/>
      </c>
      <c r="S52" s="17" t="str">
        <f t="shared" si="42"/>
        <v/>
      </c>
      <c r="T52" s="17" t="str">
        <f t="shared" si="43"/>
        <v/>
      </c>
      <c r="U52" s="16" t="str">
        <f t="shared" si="31"/>
        <v/>
      </c>
      <c r="V52" s="17" t="str">
        <f t="shared" si="32"/>
        <v/>
      </c>
      <c r="W52" s="18">
        <f t="shared" si="44"/>
        <v>0</v>
      </c>
      <c r="X52" s="18">
        <f t="shared" si="45"/>
        <v>0</v>
      </c>
      <c r="Y52" s="18" t="str">
        <f t="shared" si="46"/>
        <v/>
      </c>
      <c r="Z52" s="19">
        <f>IF(W52=1,MAX(0,MIN(Settings!$B$6,(IFERROR(VLOOKUP(U51,'Bucket Status'!$A$4:$B$75,2,FALSE()),0)-(SUMIF($U$5:$U51,U51,$AK$5:$AK51)+SUMIF($V$5:$V51,U51,$AL$5:$AL51)+SUMIF($Y$5:$Y51,U51,$AA$5:$AA51)+SUMIF($AC$5:$AC51,U51,$AE$5:$AE51))))),IF(AB51&gt;0,AB51,0))</f>
        <v>0</v>
      </c>
      <c r="AA52" s="19">
        <f t="shared" si="33"/>
        <v>0</v>
      </c>
      <c r="AB52" s="19">
        <f t="shared" si="34"/>
        <v>0</v>
      </c>
      <c r="AC52" s="18" t="str">
        <f t="shared" si="47"/>
        <v/>
      </c>
      <c r="AD52" s="19">
        <f>IF(X52=1,MAX(0,MIN(Settings!$B$6-Z52,(IFERROR(VLOOKUP(V51,'Bucket Status'!$A$4:$B$75,2,FALSE()),0)-(SUMIF($U$5:$U51,V51,$AK$5:$AK51)+SUMIF($V$5:$V51,V51,$AL$5:$AL51)+SUMIF($Y$5:$Y51,V51,$AA$5:$AA51)+SUMIF($AC$5:$AC51,V51,$AE$5:$AE51))))),IF(AF51&gt;0,AF51,0))</f>
        <v>0</v>
      </c>
      <c r="AE52" s="19">
        <f t="shared" si="35"/>
        <v>0</v>
      </c>
      <c r="AF52" s="19">
        <f t="shared" si="36"/>
        <v>0</v>
      </c>
      <c r="AG52" s="20">
        <f>IFERROR(IF(C52="Y",Settings!$B$4+Settings!$B$5,0),0)</f>
        <v>0</v>
      </c>
      <c r="AH52" s="21" t="str">
        <f>IFERROR(IF(U52="","",IFERROR(VLOOKUP(U52,'Bucket Status'!$A$4:$B$75,2,FALSE()),0)-(SUMIF($U$5:$U51,U52,$AK$5:$AK51)+SUMIF($V$5:$V51,U52,$AL$5:$AL51)+SUMIF($Y$5:$Y51,U52,$AA$5:$AA51)+SUMIF($AC$5:$AC51,U52,$AE$5:$AE51))),"")</f>
        <v/>
      </c>
      <c r="AI52" s="22" t="str">
        <f>IFERROR(IF(V52="","",IFERROR(VLOOKUP(V52,'Bucket Status'!$A$4:$B$75,2,FALSE()),0)-(SUMIF($U$5:$U51,V52,$AK$5:$AK51)+SUMIF($V$5:$V51,V52,$AL$5:$AL51)+SUMIF($Y$5:$Y51,V52,$AA$5:$AA51)+SUMIF($AC$5:$AC51,V52,$AE$5:$AE51))),"")</f>
        <v/>
      </c>
      <c r="AJ52" s="23" t="str">
        <f t="shared" si="37"/>
        <v/>
      </c>
      <c r="AK52" s="21" t="str">
        <f t="shared" si="38"/>
        <v/>
      </c>
      <c r="AL52" s="22" t="str">
        <f t="shared" si="39"/>
        <v/>
      </c>
    </row>
    <row r="53" spans="1:38" ht="18" customHeight="1" x14ac:dyDescent="0.3">
      <c r="A53" s="3"/>
      <c r="B53" s="50"/>
      <c r="C53" s="4"/>
      <c r="D53" s="5"/>
      <c r="E53" s="5"/>
      <c r="F53" s="6"/>
      <c r="G53" s="6"/>
      <c r="H53" s="7"/>
      <c r="I53" s="8" t="str">
        <f t="shared" si="24"/>
        <v/>
      </c>
      <c r="J53" s="9" t="str">
        <f t="shared" si="25"/>
        <v/>
      </c>
      <c r="K53" s="10" t="str">
        <f t="shared" si="26"/>
        <v/>
      </c>
      <c r="L53" s="11" t="str">
        <f t="shared" si="27"/>
        <v/>
      </c>
      <c r="M53" s="12" t="str">
        <f t="shared" si="28"/>
        <v/>
      </c>
      <c r="N53" s="13" t="str">
        <f t="shared" si="29"/>
        <v/>
      </c>
      <c r="O53" s="14" t="str">
        <f t="shared" si="30"/>
        <v/>
      </c>
      <c r="P53" s="15"/>
      <c r="Q53" s="16" t="str">
        <f t="shared" si="40"/>
        <v/>
      </c>
      <c r="R53" s="16" t="str">
        <f t="shared" si="41"/>
        <v/>
      </c>
      <c r="S53" s="17" t="str">
        <f t="shared" si="42"/>
        <v/>
      </c>
      <c r="T53" s="17" t="str">
        <f t="shared" si="43"/>
        <v/>
      </c>
      <c r="U53" s="16" t="str">
        <f t="shared" si="31"/>
        <v/>
      </c>
      <c r="V53" s="17" t="str">
        <f t="shared" si="32"/>
        <v/>
      </c>
      <c r="W53" s="18">
        <f t="shared" si="44"/>
        <v>0</v>
      </c>
      <c r="X53" s="18">
        <f t="shared" si="45"/>
        <v>0</v>
      </c>
      <c r="Y53" s="18" t="str">
        <f t="shared" si="46"/>
        <v/>
      </c>
      <c r="Z53" s="19">
        <f>IF(W53=1,MAX(0,MIN(Settings!$B$6,(IFERROR(VLOOKUP(U52,'Bucket Status'!$A$4:$B$75,2,FALSE()),0)-(SUMIF($U$5:$U52,U52,$AK$5:$AK52)+SUMIF($V$5:$V52,U52,$AL$5:$AL52)+SUMIF($Y$5:$Y52,U52,$AA$5:$AA52)+SUMIF($AC$5:$AC52,U52,$AE$5:$AE52))))),IF(AB52&gt;0,AB52,0))</f>
        <v>0</v>
      </c>
      <c r="AA53" s="19">
        <f t="shared" si="33"/>
        <v>0</v>
      </c>
      <c r="AB53" s="19">
        <f t="shared" si="34"/>
        <v>0</v>
      </c>
      <c r="AC53" s="18" t="str">
        <f t="shared" si="47"/>
        <v/>
      </c>
      <c r="AD53" s="19">
        <f>IF(X53=1,MAX(0,MIN(Settings!$B$6-Z53,(IFERROR(VLOOKUP(V52,'Bucket Status'!$A$4:$B$75,2,FALSE()),0)-(SUMIF($U$5:$U52,V52,$AK$5:$AK52)+SUMIF($V$5:$V52,V52,$AL$5:$AL52)+SUMIF($Y$5:$Y52,V52,$AA$5:$AA52)+SUMIF($AC$5:$AC52,V52,$AE$5:$AE52))))),IF(AF52&gt;0,AF52,0))</f>
        <v>0</v>
      </c>
      <c r="AE53" s="19">
        <f t="shared" si="35"/>
        <v>0</v>
      </c>
      <c r="AF53" s="19">
        <f t="shared" si="36"/>
        <v>0</v>
      </c>
      <c r="AG53" s="20">
        <f>IFERROR(IF(C53="Y",Settings!$B$4+Settings!$B$5,0),0)</f>
        <v>0</v>
      </c>
      <c r="AH53" s="21" t="str">
        <f>IFERROR(IF(U53="","",IFERROR(VLOOKUP(U53,'Bucket Status'!$A$4:$B$75,2,FALSE()),0)-(SUMIF($U$5:$U52,U53,$AK$5:$AK52)+SUMIF($V$5:$V52,U53,$AL$5:$AL52)+SUMIF($Y$5:$Y52,U53,$AA$5:$AA52)+SUMIF($AC$5:$AC52,U53,$AE$5:$AE52))),"")</f>
        <v/>
      </c>
      <c r="AI53" s="22" t="str">
        <f>IFERROR(IF(V53="","",IFERROR(VLOOKUP(V53,'Bucket Status'!$A$4:$B$75,2,FALSE()),0)-(SUMIF($U$5:$U52,V53,$AK$5:$AK52)+SUMIF($V$5:$V52,V53,$AL$5:$AL52)+SUMIF($Y$5:$Y52,V53,$AA$5:$AA52)+SUMIF($AC$5:$AC52,V53,$AE$5:$AE52))),"")</f>
        <v/>
      </c>
      <c r="AJ53" s="23" t="str">
        <f t="shared" si="37"/>
        <v/>
      </c>
      <c r="AK53" s="21" t="str">
        <f t="shared" si="38"/>
        <v/>
      </c>
      <c r="AL53" s="22" t="str">
        <f t="shared" si="39"/>
        <v/>
      </c>
    </row>
    <row r="54" spans="1:38" ht="18" customHeight="1" x14ac:dyDescent="0.3">
      <c r="A54" s="3"/>
      <c r="B54" s="50"/>
      <c r="C54" s="4"/>
      <c r="D54" s="5"/>
      <c r="E54" s="5"/>
      <c r="F54" s="6"/>
      <c r="G54" s="6"/>
      <c r="H54" s="7"/>
      <c r="I54" s="8" t="str">
        <f t="shared" si="24"/>
        <v/>
      </c>
      <c r="J54" s="9" t="str">
        <f t="shared" si="25"/>
        <v/>
      </c>
      <c r="K54" s="10" t="str">
        <f t="shared" si="26"/>
        <v/>
      </c>
      <c r="L54" s="11" t="str">
        <f t="shared" si="27"/>
        <v/>
      </c>
      <c r="M54" s="12" t="str">
        <f t="shared" si="28"/>
        <v/>
      </c>
      <c r="N54" s="13" t="str">
        <f t="shared" si="29"/>
        <v/>
      </c>
      <c r="O54" s="14" t="str">
        <f t="shared" si="30"/>
        <v/>
      </c>
      <c r="P54" s="15"/>
      <c r="Q54" s="16" t="str">
        <f t="shared" si="40"/>
        <v/>
      </c>
      <c r="R54" s="16" t="str">
        <f t="shared" si="41"/>
        <v/>
      </c>
      <c r="S54" s="17" t="str">
        <f t="shared" si="42"/>
        <v/>
      </c>
      <c r="T54" s="17" t="str">
        <f t="shared" si="43"/>
        <v/>
      </c>
      <c r="U54" s="16" t="str">
        <f t="shared" si="31"/>
        <v/>
      </c>
      <c r="V54" s="17" t="str">
        <f t="shared" si="32"/>
        <v/>
      </c>
      <c r="W54" s="18">
        <f t="shared" si="44"/>
        <v>0</v>
      </c>
      <c r="X54" s="18">
        <f t="shared" si="45"/>
        <v>0</v>
      </c>
      <c r="Y54" s="18" t="str">
        <f t="shared" si="46"/>
        <v/>
      </c>
      <c r="Z54" s="19">
        <f>IF(W54=1,MAX(0,MIN(Settings!$B$6,(IFERROR(VLOOKUP(U53,'Bucket Status'!$A$4:$B$75,2,FALSE()),0)-(SUMIF($U$5:$U53,U53,$AK$5:$AK53)+SUMIF($V$5:$V53,U53,$AL$5:$AL53)+SUMIF($Y$5:$Y53,U53,$AA$5:$AA53)+SUMIF($AC$5:$AC53,U53,$AE$5:$AE53))))),IF(AB53&gt;0,AB53,0))</f>
        <v>0</v>
      </c>
      <c r="AA54" s="19">
        <f t="shared" si="33"/>
        <v>0</v>
      </c>
      <c r="AB54" s="19">
        <f t="shared" si="34"/>
        <v>0</v>
      </c>
      <c r="AC54" s="18" t="str">
        <f t="shared" si="47"/>
        <v/>
      </c>
      <c r="AD54" s="19">
        <f>IF(X54=1,MAX(0,MIN(Settings!$B$6-Z54,(IFERROR(VLOOKUP(V53,'Bucket Status'!$A$4:$B$75,2,FALSE()),0)-(SUMIF($U$5:$U53,V53,$AK$5:$AK53)+SUMIF($V$5:$V53,V53,$AL$5:$AL53)+SUMIF($Y$5:$Y53,V53,$AA$5:$AA53)+SUMIF($AC$5:$AC53,V53,$AE$5:$AE53))))),IF(AF53&gt;0,AF53,0))</f>
        <v>0</v>
      </c>
      <c r="AE54" s="19">
        <f t="shared" si="35"/>
        <v>0</v>
      </c>
      <c r="AF54" s="19">
        <f t="shared" si="36"/>
        <v>0</v>
      </c>
      <c r="AG54" s="20">
        <f>IFERROR(IF(C54="Y",Settings!$B$4+Settings!$B$5,0),0)</f>
        <v>0</v>
      </c>
      <c r="AH54" s="21" t="str">
        <f>IFERROR(IF(U54="","",IFERROR(VLOOKUP(U54,'Bucket Status'!$A$4:$B$75,2,FALSE()),0)-(SUMIF($U$5:$U53,U54,$AK$5:$AK53)+SUMIF($V$5:$V53,U54,$AL$5:$AL53)+SUMIF($Y$5:$Y53,U54,$AA$5:$AA53)+SUMIF($AC$5:$AC53,U54,$AE$5:$AE53))),"")</f>
        <v/>
      </c>
      <c r="AI54" s="22" t="str">
        <f>IFERROR(IF(V54="","",IFERROR(VLOOKUP(V54,'Bucket Status'!$A$4:$B$75,2,FALSE()),0)-(SUMIF($U$5:$U53,V54,$AK$5:$AK53)+SUMIF($V$5:$V53,V54,$AL$5:$AL53)+SUMIF($Y$5:$Y53,V54,$AA$5:$AA53)+SUMIF($AC$5:$AC53,V54,$AE$5:$AE53))),"")</f>
        <v/>
      </c>
      <c r="AJ54" s="23" t="str">
        <f t="shared" si="37"/>
        <v/>
      </c>
      <c r="AK54" s="21" t="str">
        <f t="shared" si="38"/>
        <v/>
      </c>
      <c r="AL54" s="22" t="str">
        <f t="shared" si="39"/>
        <v/>
      </c>
    </row>
    <row r="55" spans="1:38" ht="18" customHeight="1" x14ac:dyDescent="0.3">
      <c r="A55" s="3"/>
      <c r="B55" s="50"/>
      <c r="C55" s="4"/>
      <c r="D55" s="5"/>
      <c r="E55" s="5"/>
      <c r="F55" s="6"/>
      <c r="G55" s="6"/>
      <c r="H55" s="7"/>
      <c r="I55" s="8" t="str">
        <f t="shared" si="24"/>
        <v/>
      </c>
      <c r="J55" s="9" t="str">
        <f t="shared" si="25"/>
        <v/>
      </c>
      <c r="K55" s="10" t="str">
        <f t="shared" si="26"/>
        <v/>
      </c>
      <c r="L55" s="11" t="str">
        <f t="shared" si="27"/>
        <v/>
      </c>
      <c r="M55" s="12" t="str">
        <f t="shared" si="28"/>
        <v/>
      </c>
      <c r="N55" s="13" t="str">
        <f t="shared" si="29"/>
        <v/>
      </c>
      <c r="O55" s="14" t="str">
        <f t="shared" si="30"/>
        <v/>
      </c>
      <c r="P55" s="15"/>
      <c r="Q55" s="16" t="str">
        <f t="shared" si="40"/>
        <v/>
      </c>
      <c r="R55" s="16" t="str">
        <f t="shared" si="41"/>
        <v/>
      </c>
      <c r="S55" s="17" t="str">
        <f t="shared" si="42"/>
        <v/>
      </c>
      <c r="T55" s="17" t="str">
        <f t="shared" si="43"/>
        <v/>
      </c>
      <c r="U55" s="16" t="str">
        <f t="shared" si="31"/>
        <v/>
      </c>
      <c r="V55" s="17" t="str">
        <f t="shared" si="32"/>
        <v/>
      </c>
      <c r="W55" s="18">
        <f t="shared" si="44"/>
        <v>0</v>
      </c>
      <c r="X55" s="18">
        <f t="shared" si="45"/>
        <v>0</v>
      </c>
      <c r="Y55" s="18" t="str">
        <f t="shared" si="46"/>
        <v/>
      </c>
      <c r="Z55" s="19">
        <f>IF(W55=1,MAX(0,MIN(Settings!$B$6,(IFERROR(VLOOKUP(U54,'Bucket Status'!$A$4:$B$75,2,FALSE()),0)-(SUMIF($U$5:$U54,U54,$AK$5:$AK54)+SUMIF($V$5:$V54,U54,$AL$5:$AL54)+SUMIF($Y$5:$Y54,U54,$AA$5:$AA54)+SUMIF($AC$5:$AC54,U54,$AE$5:$AE54))))),IF(AB54&gt;0,AB54,0))</f>
        <v>0</v>
      </c>
      <c r="AA55" s="19">
        <f t="shared" si="33"/>
        <v>0</v>
      </c>
      <c r="AB55" s="19">
        <f t="shared" si="34"/>
        <v>0</v>
      </c>
      <c r="AC55" s="18" t="str">
        <f t="shared" si="47"/>
        <v/>
      </c>
      <c r="AD55" s="19">
        <f>IF(X55=1,MAX(0,MIN(Settings!$B$6-Z55,(IFERROR(VLOOKUP(V54,'Bucket Status'!$A$4:$B$75,2,FALSE()),0)-(SUMIF($U$5:$U54,V54,$AK$5:$AK54)+SUMIF($V$5:$V54,V54,$AL$5:$AL54)+SUMIF($Y$5:$Y54,V54,$AA$5:$AA54)+SUMIF($AC$5:$AC54,V54,$AE$5:$AE54))))),IF(AF54&gt;0,AF54,0))</f>
        <v>0</v>
      </c>
      <c r="AE55" s="19">
        <f t="shared" si="35"/>
        <v>0</v>
      </c>
      <c r="AF55" s="19">
        <f t="shared" si="36"/>
        <v>0</v>
      </c>
      <c r="AG55" s="20">
        <f>IFERROR(IF(C55="Y",Settings!$B$4+Settings!$B$5,0),0)</f>
        <v>0</v>
      </c>
      <c r="AH55" s="21" t="str">
        <f>IFERROR(IF(U55="","",IFERROR(VLOOKUP(U55,'Bucket Status'!$A$4:$B$75,2,FALSE()),0)-(SUMIF($U$5:$U54,U55,$AK$5:$AK54)+SUMIF($V$5:$V54,U55,$AL$5:$AL54)+SUMIF($Y$5:$Y54,U55,$AA$5:$AA54)+SUMIF($AC$5:$AC54,U55,$AE$5:$AE54))),"")</f>
        <v/>
      </c>
      <c r="AI55" s="22" t="str">
        <f>IFERROR(IF(V55="","",IFERROR(VLOOKUP(V55,'Bucket Status'!$A$4:$B$75,2,FALSE()),0)-(SUMIF($U$5:$U54,V55,$AK$5:$AK54)+SUMIF($V$5:$V54,V55,$AL$5:$AL54)+SUMIF($Y$5:$Y54,V55,$AA$5:$AA54)+SUMIF($AC$5:$AC54,V55,$AE$5:$AE54))),"")</f>
        <v/>
      </c>
      <c r="AJ55" s="23" t="str">
        <f t="shared" si="37"/>
        <v/>
      </c>
      <c r="AK55" s="21" t="str">
        <f t="shared" si="38"/>
        <v/>
      </c>
      <c r="AL55" s="22" t="str">
        <f t="shared" si="39"/>
        <v/>
      </c>
    </row>
    <row r="56" spans="1:38" ht="18" customHeight="1" x14ac:dyDescent="0.3">
      <c r="A56" s="3"/>
      <c r="B56" s="50"/>
      <c r="C56" s="4"/>
      <c r="D56" s="5"/>
      <c r="E56" s="5"/>
      <c r="F56" s="6"/>
      <c r="G56" s="6"/>
      <c r="H56" s="7"/>
      <c r="I56" s="8" t="str">
        <f t="shared" si="24"/>
        <v/>
      </c>
      <c r="J56" s="9" t="str">
        <f t="shared" si="25"/>
        <v/>
      </c>
      <c r="K56" s="10" t="str">
        <f t="shared" si="26"/>
        <v/>
      </c>
      <c r="L56" s="11" t="str">
        <f t="shared" si="27"/>
        <v/>
      </c>
      <c r="M56" s="12" t="str">
        <f t="shared" si="28"/>
        <v/>
      </c>
      <c r="N56" s="13" t="str">
        <f t="shared" si="29"/>
        <v/>
      </c>
      <c r="O56" s="14" t="str">
        <f t="shared" si="30"/>
        <v/>
      </c>
      <c r="P56" s="15"/>
      <c r="Q56" s="16" t="str">
        <f t="shared" si="40"/>
        <v/>
      </c>
      <c r="R56" s="16" t="str">
        <f t="shared" si="41"/>
        <v/>
      </c>
      <c r="S56" s="17" t="str">
        <f t="shared" si="42"/>
        <v/>
      </c>
      <c r="T56" s="17" t="str">
        <f t="shared" si="43"/>
        <v/>
      </c>
      <c r="U56" s="16" t="str">
        <f t="shared" si="31"/>
        <v/>
      </c>
      <c r="V56" s="17" t="str">
        <f t="shared" si="32"/>
        <v/>
      </c>
      <c r="W56" s="18">
        <f t="shared" si="44"/>
        <v>0</v>
      </c>
      <c r="X56" s="18">
        <f t="shared" si="45"/>
        <v>0</v>
      </c>
      <c r="Y56" s="18" t="str">
        <f t="shared" si="46"/>
        <v/>
      </c>
      <c r="Z56" s="19">
        <f>IF(W56=1,MAX(0,MIN(Settings!$B$6,(IFERROR(VLOOKUP(U55,'Bucket Status'!$A$4:$B$75,2,FALSE()),0)-(SUMIF($U$5:$U55,U55,$AK$5:$AK55)+SUMIF($V$5:$V55,U55,$AL$5:$AL55)+SUMIF($Y$5:$Y55,U55,$AA$5:$AA55)+SUMIF($AC$5:$AC55,U55,$AE$5:$AE55))))),IF(AB55&gt;0,AB55,0))</f>
        <v>0</v>
      </c>
      <c r="AA56" s="19">
        <f t="shared" si="33"/>
        <v>0</v>
      </c>
      <c r="AB56" s="19">
        <f t="shared" si="34"/>
        <v>0</v>
      </c>
      <c r="AC56" s="18" t="str">
        <f t="shared" si="47"/>
        <v/>
      </c>
      <c r="AD56" s="19">
        <f>IF(X56=1,MAX(0,MIN(Settings!$B$6-Z56,(IFERROR(VLOOKUP(V55,'Bucket Status'!$A$4:$B$75,2,FALSE()),0)-(SUMIF($U$5:$U55,V55,$AK$5:$AK55)+SUMIF($V$5:$V55,V55,$AL$5:$AL55)+SUMIF($Y$5:$Y55,V55,$AA$5:$AA55)+SUMIF($AC$5:$AC55,V55,$AE$5:$AE55))))),IF(AF55&gt;0,AF55,0))</f>
        <v>0</v>
      </c>
      <c r="AE56" s="19">
        <f t="shared" si="35"/>
        <v>0</v>
      </c>
      <c r="AF56" s="19">
        <f t="shared" si="36"/>
        <v>0</v>
      </c>
      <c r="AG56" s="20">
        <f>IFERROR(IF(C56="Y",Settings!$B$4+Settings!$B$5,0),0)</f>
        <v>0</v>
      </c>
      <c r="AH56" s="21" t="str">
        <f>IFERROR(IF(U56="","",IFERROR(VLOOKUP(U56,'Bucket Status'!$A$4:$B$75,2,FALSE()),0)-(SUMIF($U$5:$U55,U56,$AK$5:$AK55)+SUMIF($V$5:$V55,U56,$AL$5:$AL55)+SUMIF($Y$5:$Y55,U56,$AA$5:$AA55)+SUMIF($AC$5:$AC55,U56,$AE$5:$AE55))),"")</f>
        <v/>
      </c>
      <c r="AI56" s="22" t="str">
        <f>IFERROR(IF(V56="","",IFERROR(VLOOKUP(V56,'Bucket Status'!$A$4:$B$75,2,FALSE()),0)-(SUMIF($U$5:$U55,V56,$AK$5:$AK55)+SUMIF($V$5:$V55,V56,$AL$5:$AL55)+SUMIF($Y$5:$Y55,V56,$AA$5:$AA55)+SUMIF($AC$5:$AC55,V56,$AE$5:$AE55))),"")</f>
        <v/>
      </c>
      <c r="AJ56" s="23" t="str">
        <f t="shared" si="37"/>
        <v/>
      </c>
      <c r="AK56" s="21" t="str">
        <f t="shared" si="38"/>
        <v/>
      </c>
      <c r="AL56" s="22" t="str">
        <f t="shared" si="39"/>
        <v/>
      </c>
    </row>
    <row r="57" spans="1:38" ht="18" customHeight="1" x14ac:dyDescent="0.3">
      <c r="A57" s="3"/>
      <c r="B57" s="50"/>
      <c r="C57" s="4"/>
      <c r="D57" s="5"/>
      <c r="E57" s="5"/>
      <c r="F57" s="6"/>
      <c r="G57" s="6"/>
      <c r="H57" s="7"/>
      <c r="I57" s="8" t="str">
        <f t="shared" si="24"/>
        <v/>
      </c>
      <c r="J57" s="9" t="str">
        <f t="shared" si="25"/>
        <v/>
      </c>
      <c r="K57" s="10" t="str">
        <f t="shared" si="26"/>
        <v/>
      </c>
      <c r="L57" s="11" t="str">
        <f t="shared" si="27"/>
        <v/>
      </c>
      <c r="M57" s="12" t="str">
        <f t="shared" si="28"/>
        <v/>
      </c>
      <c r="N57" s="13" t="str">
        <f t="shared" si="29"/>
        <v/>
      </c>
      <c r="O57" s="14" t="str">
        <f t="shared" si="30"/>
        <v/>
      </c>
      <c r="P57" s="15"/>
      <c r="Q57" s="16" t="str">
        <f t="shared" si="40"/>
        <v/>
      </c>
      <c r="R57" s="16" t="str">
        <f t="shared" si="41"/>
        <v/>
      </c>
      <c r="S57" s="17" t="str">
        <f t="shared" si="42"/>
        <v/>
      </c>
      <c r="T57" s="17" t="str">
        <f t="shared" si="43"/>
        <v/>
      </c>
      <c r="U57" s="16" t="str">
        <f t="shared" si="31"/>
        <v/>
      </c>
      <c r="V57" s="17" t="str">
        <f t="shared" si="32"/>
        <v/>
      </c>
      <c r="W57" s="18">
        <f t="shared" si="44"/>
        <v>0</v>
      </c>
      <c r="X57" s="18">
        <f t="shared" si="45"/>
        <v>0</v>
      </c>
      <c r="Y57" s="18" t="str">
        <f t="shared" si="46"/>
        <v/>
      </c>
      <c r="Z57" s="19">
        <f>IF(W57=1,MAX(0,MIN(Settings!$B$6,(IFERROR(VLOOKUP(U56,'Bucket Status'!$A$4:$B$75,2,FALSE()),0)-(SUMIF($U$5:$U56,U56,$AK$5:$AK56)+SUMIF($V$5:$V56,U56,$AL$5:$AL56)+SUMIF($Y$5:$Y56,U56,$AA$5:$AA56)+SUMIF($AC$5:$AC56,U56,$AE$5:$AE56))))),IF(AB56&gt;0,AB56,0))</f>
        <v>0</v>
      </c>
      <c r="AA57" s="19">
        <f t="shared" si="33"/>
        <v>0</v>
      </c>
      <c r="AB57" s="19">
        <f t="shared" si="34"/>
        <v>0</v>
      </c>
      <c r="AC57" s="18" t="str">
        <f t="shared" si="47"/>
        <v/>
      </c>
      <c r="AD57" s="19">
        <f>IF(X57=1,MAX(0,MIN(Settings!$B$6-Z57,(IFERROR(VLOOKUP(V56,'Bucket Status'!$A$4:$B$75,2,FALSE()),0)-(SUMIF($U$5:$U56,V56,$AK$5:$AK56)+SUMIF($V$5:$V56,V56,$AL$5:$AL56)+SUMIF($Y$5:$Y56,V56,$AA$5:$AA56)+SUMIF($AC$5:$AC56,V56,$AE$5:$AE56))))),IF(AF56&gt;0,AF56,0))</f>
        <v>0</v>
      </c>
      <c r="AE57" s="19">
        <f t="shared" si="35"/>
        <v>0</v>
      </c>
      <c r="AF57" s="19">
        <f t="shared" si="36"/>
        <v>0</v>
      </c>
      <c r="AG57" s="20">
        <f>IFERROR(IF(C57="Y",Settings!$B$4+Settings!$B$5,0),0)</f>
        <v>0</v>
      </c>
      <c r="AH57" s="21" t="str">
        <f>IFERROR(IF(U57="","",IFERROR(VLOOKUP(U57,'Bucket Status'!$A$4:$B$75,2,FALSE()),0)-(SUMIF($U$5:$U56,U57,$AK$5:$AK56)+SUMIF($V$5:$V56,U57,$AL$5:$AL56)+SUMIF($Y$5:$Y56,U57,$AA$5:$AA56)+SUMIF($AC$5:$AC56,U57,$AE$5:$AE56))),"")</f>
        <v/>
      </c>
      <c r="AI57" s="22" t="str">
        <f>IFERROR(IF(V57="","",IFERROR(VLOOKUP(V57,'Bucket Status'!$A$4:$B$75,2,FALSE()),0)-(SUMIF($U$5:$U56,V57,$AK$5:$AK56)+SUMIF($V$5:$V56,V57,$AL$5:$AL56)+SUMIF($Y$5:$Y56,V57,$AA$5:$AA56)+SUMIF($AC$5:$AC56,V57,$AE$5:$AE56))),"")</f>
        <v/>
      </c>
      <c r="AJ57" s="23" t="str">
        <f t="shared" si="37"/>
        <v/>
      </c>
      <c r="AK57" s="21" t="str">
        <f t="shared" si="38"/>
        <v/>
      </c>
      <c r="AL57" s="22" t="str">
        <f t="shared" si="39"/>
        <v/>
      </c>
    </row>
    <row r="58" spans="1:38" ht="18" customHeight="1" x14ac:dyDescent="0.3">
      <c r="A58" s="3"/>
      <c r="B58" s="50"/>
      <c r="C58" s="4"/>
      <c r="D58" s="5"/>
      <c r="E58" s="5"/>
      <c r="F58" s="6"/>
      <c r="G58" s="6"/>
      <c r="H58" s="7"/>
      <c r="I58" s="8" t="str">
        <f t="shared" si="24"/>
        <v/>
      </c>
      <c r="J58" s="9" t="str">
        <f t="shared" si="25"/>
        <v/>
      </c>
      <c r="K58" s="10" t="str">
        <f t="shared" si="26"/>
        <v/>
      </c>
      <c r="L58" s="11" t="str">
        <f t="shared" si="27"/>
        <v/>
      </c>
      <c r="M58" s="12" t="str">
        <f t="shared" si="28"/>
        <v/>
      </c>
      <c r="N58" s="13" t="str">
        <f t="shared" si="29"/>
        <v/>
      </c>
      <c r="O58" s="14" t="str">
        <f t="shared" si="30"/>
        <v/>
      </c>
      <c r="P58" s="15"/>
      <c r="Q58" s="16" t="str">
        <f t="shared" si="40"/>
        <v/>
      </c>
      <c r="R58" s="16" t="str">
        <f t="shared" si="41"/>
        <v/>
      </c>
      <c r="S58" s="17" t="str">
        <f t="shared" si="42"/>
        <v/>
      </c>
      <c r="T58" s="17" t="str">
        <f t="shared" si="43"/>
        <v/>
      </c>
      <c r="U58" s="16" t="str">
        <f t="shared" si="31"/>
        <v/>
      </c>
      <c r="V58" s="17" t="str">
        <f t="shared" si="32"/>
        <v/>
      </c>
      <c r="W58" s="18">
        <f t="shared" si="44"/>
        <v>0</v>
      </c>
      <c r="X58" s="18">
        <f t="shared" si="45"/>
        <v>0</v>
      </c>
      <c r="Y58" s="18" t="str">
        <f t="shared" si="46"/>
        <v/>
      </c>
      <c r="Z58" s="19">
        <f>IF(W58=1,MAX(0,MIN(Settings!$B$6,(IFERROR(VLOOKUP(U57,'Bucket Status'!$A$4:$B$75,2,FALSE()),0)-(SUMIF($U$5:$U57,U57,$AK$5:$AK57)+SUMIF($V$5:$V57,U57,$AL$5:$AL57)+SUMIF($Y$5:$Y57,U57,$AA$5:$AA57)+SUMIF($AC$5:$AC57,U57,$AE$5:$AE57))))),IF(AB57&gt;0,AB57,0))</f>
        <v>0</v>
      </c>
      <c r="AA58" s="19">
        <f t="shared" si="33"/>
        <v>0</v>
      </c>
      <c r="AB58" s="19">
        <f t="shared" si="34"/>
        <v>0</v>
      </c>
      <c r="AC58" s="18" t="str">
        <f t="shared" si="47"/>
        <v/>
      </c>
      <c r="AD58" s="19">
        <f>IF(X58=1,MAX(0,MIN(Settings!$B$6-Z58,(IFERROR(VLOOKUP(V57,'Bucket Status'!$A$4:$B$75,2,FALSE()),0)-(SUMIF($U$5:$U57,V57,$AK$5:$AK57)+SUMIF($V$5:$V57,V57,$AL$5:$AL57)+SUMIF($Y$5:$Y57,V57,$AA$5:$AA57)+SUMIF($AC$5:$AC57,V57,$AE$5:$AE57))))),IF(AF57&gt;0,AF57,0))</f>
        <v>0</v>
      </c>
      <c r="AE58" s="19">
        <f t="shared" si="35"/>
        <v>0</v>
      </c>
      <c r="AF58" s="19">
        <f t="shared" si="36"/>
        <v>0</v>
      </c>
      <c r="AG58" s="20">
        <f>IFERROR(IF(C58="Y",Settings!$B$4+Settings!$B$5,0),0)</f>
        <v>0</v>
      </c>
      <c r="AH58" s="21" t="str">
        <f>IFERROR(IF(U58="","",IFERROR(VLOOKUP(U58,'Bucket Status'!$A$4:$B$75,2,FALSE()),0)-(SUMIF($U$5:$U57,U58,$AK$5:$AK57)+SUMIF($V$5:$V57,U58,$AL$5:$AL57)+SUMIF($Y$5:$Y57,U58,$AA$5:$AA57)+SUMIF($AC$5:$AC57,U58,$AE$5:$AE57))),"")</f>
        <v/>
      </c>
      <c r="AI58" s="22" t="str">
        <f>IFERROR(IF(V58="","",IFERROR(VLOOKUP(V58,'Bucket Status'!$A$4:$B$75,2,FALSE()),0)-(SUMIF($U$5:$U57,V58,$AK$5:$AK57)+SUMIF($V$5:$V57,V58,$AL$5:$AL57)+SUMIF($Y$5:$Y57,V58,$AA$5:$AA57)+SUMIF($AC$5:$AC57,V58,$AE$5:$AE57))),"")</f>
        <v/>
      </c>
      <c r="AJ58" s="23" t="str">
        <f t="shared" si="37"/>
        <v/>
      </c>
      <c r="AK58" s="21" t="str">
        <f t="shared" si="38"/>
        <v/>
      </c>
      <c r="AL58" s="22" t="str">
        <f t="shared" si="39"/>
        <v/>
      </c>
    </row>
    <row r="59" spans="1:38" ht="18" customHeight="1" x14ac:dyDescent="0.3">
      <c r="A59" s="3"/>
      <c r="B59" s="50"/>
      <c r="C59" s="4"/>
      <c r="D59" s="5"/>
      <c r="E59" s="5"/>
      <c r="F59" s="6"/>
      <c r="G59" s="6"/>
      <c r="H59" s="7"/>
      <c r="I59" s="8" t="str">
        <f t="shared" si="24"/>
        <v/>
      </c>
      <c r="J59" s="9" t="str">
        <f t="shared" si="25"/>
        <v/>
      </c>
      <c r="K59" s="10" t="str">
        <f t="shared" si="26"/>
        <v/>
      </c>
      <c r="L59" s="11" t="str">
        <f t="shared" si="27"/>
        <v/>
      </c>
      <c r="M59" s="12" t="str">
        <f t="shared" si="28"/>
        <v/>
      </c>
      <c r="N59" s="13" t="str">
        <f t="shared" si="29"/>
        <v/>
      </c>
      <c r="O59" s="14" t="str">
        <f t="shared" si="30"/>
        <v/>
      </c>
      <c r="P59" s="15"/>
      <c r="Q59" s="16" t="str">
        <f t="shared" si="40"/>
        <v/>
      </c>
      <c r="R59" s="16" t="str">
        <f t="shared" si="41"/>
        <v/>
      </c>
      <c r="S59" s="17" t="str">
        <f t="shared" si="42"/>
        <v/>
      </c>
      <c r="T59" s="17" t="str">
        <f t="shared" si="43"/>
        <v/>
      </c>
      <c r="U59" s="16" t="str">
        <f t="shared" si="31"/>
        <v/>
      </c>
      <c r="V59" s="17" t="str">
        <f t="shared" si="32"/>
        <v/>
      </c>
      <c r="W59" s="18">
        <f t="shared" si="44"/>
        <v>0</v>
      </c>
      <c r="X59" s="18">
        <f t="shared" si="45"/>
        <v>0</v>
      </c>
      <c r="Y59" s="18" t="str">
        <f t="shared" si="46"/>
        <v/>
      </c>
      <c r="Z59" s="19">
        <f>IF(W59=1,MAX(0,MIN(Settings!$B$6,(IFERROR(VLOOKUP(U58,'Bucket Status'!$A$4:$B$75,2,FALSE()),0)-(SUMIF($U$5:$U58,U58,$AK$5:$AK58)+SUMIF($V$5:$V58,U58,$AL$5:$AL58)+SUMIF($Y$5:$Y58,U58,$AA$5:$AA58)+SUMIF($AC$5:$AC58,U58,$AE$5:$AE58))))),IF(AB58&gt;0,AB58,0))</f>
        <v>0</v>
      </c>
      <c r="AA59" s="19">
        <f t="shared" si="33"/>
        <v>0</v>
      </c>
      <c r="AB59" s="19">
        <f t="shared" si="34"/>
        <v>0</v>
      </c>
      <c r="AC59" s="18" t="str">
        <f t="shared" si="47"/>
        <v/>
      </c>
      <c r="AD59" s="19">
        <f>IF(X59=1,MAX(0,MIN(Settings!$B$6-Z59,(IFERROR(VLOOKUP(V58,'Bucket Status'!$A$4:$B$75,2,FALSE()),0)-(SUMIF($U$5:$U58,V58,$AK$5:$AK58)+SUMIF($V$5:$V58,V58,$AL$5:$AL58)+SUMIF($Y$5:$Y58,V58,$AA$5:$AA58)+SUMIF($AC$5:$AC58,V58,$AE$5:$AE58))))),IF(AF58&gt;0,AF58,0))</f>
        <v>0</v>
      </c>
      <c r="AE59" s="19">
        <f t="shared" si="35"/>
        <v>0</v>
      </c>
      <c r="AF59" s="19">
        <f t="shared" si="36"/>
        <v>0</v>
      </c>
      <c r="AG59" s="20">
        <f>IFERROR(IF(C59="Y",Settings!$B$4+Settings!$B$5,0),0)</f>
        <v>0</v>
      </c>
      <c r="AH59" s="21" t="str">
        <f>IFERROR(IF(U59="","",IFERROR(VLOOKUP(U59,'Bucket Status'!$A$4:$B$75,2,FALSE()),0)-(SUMIF($U$5:$U58,U59,$AK$5:$AK58)+SUMIF($V$5:$V58,U59,$AL$5:$AL58)+SUMIF($Y$5:$Y58,U59,$AA$5:$AA58)+SUMIF($AC$5:$AC58,U59,$AE$5:$AE58))),"")</f>
        <v/>
      </c>
      <c r="AI59" s="22" t="str">
        <f>IFERROR(IF(V59="","",IFERROR(VLOOKUP(V59,'Bucket Status'!$A$4:$B$75,2,FALSE()),0)-(SUMIF($U$5:$U58,V59,$AK$5:$AK58)+SUMIF($V$5:$V58,V59,$AL$5:$AL58)+SUMIF($Y$5:$Y58,V59,$AA$5:$AA58)+SUMIF($AC$5:$AC58,V59,$AE$5:$AE58))),"")</f>
        <v/>
      </c>
      <c r="AJ59" s="23" t="str">
        <f t="shared" si="37"/>
        <v/>
      </c>
      <c r="AK59" s="21" t="str">
        <f t="shared" si="38"/>
        <v/>
      </c>
      <c r="AL59" s="22" t="str">
        <f t="shared" si="39"/>
        <v/>
      </c>
    </row>
    <row r="60" spans="1:38" ht="18" customHeight="1" x14ac:dyDescent="0.3">
      <c r="A60" s="3"/>
      <c r="B60" s="50"/>
      <c r="C60" s="4"/>
      <c r="D60" s="5"/>
      <c r="E60" s="5"/>
      <c r="F60" s="6"/>
      <c r="G60" s="6"/>
      <c r="H60" s="7"/>
      <c r="I60" s="8" t="str">
        <f t="shared" si="24"/>
        <v/>
      </c>
      <c r="J60" s="9" t="str">
        <f t="shared" si="25"/>
        <v/>
      </c>
      <c r="K60" s="10" t="str">
        <f t="shared" si="26"/>
        <v/>
      </c>
      <c r="L60" s="11" t="str">
        <f t="shared" si="27"/>
        <v/>
      </c>
      <c r="M60" s="12" t="str">
        <f t="shared" si="28"/>
        <v/>
      </c>
      <c r="N60" s="13" t="str">
        <f t="shared" si="29"/>
        <v/>
      </c>
      <c r="O60" s="14" t="str">
        <f t="shared" si="30"/>
        <v/>
      </c>
      <c r="P60" s="15"/>
      <c r="Q60" s="16" t="str">
        <f t="shared" si="40"/>
        <v/>
      </c>
      <c r="R60" s="16" t="str">
        <f t="shared" si="41"/>
        <v/>
      </c>
      <c r="S60" s="17" t="str">
        <f t="shared" si="42"/>
        <v/>
      </c>
      <c r="T60" s="17" t="str">
        <f t="shared" si="43"/>
        <v/>
      </c>
      <c r="U60" s="16" t="str">
        <f t="shared" si="31"/>
        <v/>
      </c>
      <c r="V60" s="17" t="str">
        <f t="shared" si="32"/>
        <v/>
      </c>
      <c r="W60" s="18">
        <f t="shared" si="44"/>
        <v>0</v>
      </c>
      <c r="X60" s="18">
        <f t="shared" si="45"/>
        <v>0</v>
      </c>
      <c r="Y60" s="18" t="str">
        <f t="shared" si="46"/>
        <v/>
      </c>
      <c r="Z60" s="19">
        <f>IF(W60=1,MAX(0,MIN(Settings!$B$6,(IFERROR(VLOOKUP(U59,'Bucket Status'!$A$4:$B$75,2,FALSE()),0)-(SUMIF($U$5:$U59,U59,$AK$5:$AK59)+SUMIF($V$5:$V59,U59,$AL$5:$AL59)+SUMIF($Y$5:$Y59,U59,$AA$5:$AA59)+SUMIF($AC$5:$AC59,U59,$AE$5:$AE59))))),IF(AB59&gt;0,AB59,0))</f>
        <v>0</v>
      </c>
      <c r="AA60" s="19">
        <f t="shared" si="33"/>
        <v>0</v>
      </c>
      <c r="AB60" s="19">
        <f t="shared" si="34"/>
        <v>0</v>
      </c>
      <c r="AC60" s="18" t="str">
        <f t="shared" si="47"/>
        <v/>
      </c>
      <c r="AD60" s="19">
        <f>IF(X60=1,MAX(0,MIN(Settings!$B$6-Z60,(IFERROR(VLOOKUP(V59,'Bucket Status'!$A$4:$B$75,2,FALSE()),0)-(SUMIF($U$5:$U59,V59,$AK$5:$AK59)+SUMIF($V$5:$V59,V59,$AL$5:$AL59)+SUMIF($Y$5:$Y59,V59,$AA$5:$AA59)+SUMIF($AC$5:$AC59,V59,$AE$5:$AE59))))),IF(AF59&gt;0,AF59,0))</f>
        <v>0</v>
      </c>
      <c r="AE60" s="19">
        <f t="shared" si="35"/>
        <v>0</v>
      </c>
      <c r="AF60" s="19">
        <f t="shared" si="36"/>
        <v>0</v>
      </c>
      <c r="AG60" s="20">
        <f>IFERROR(IF(C60="Y",Settings!$B$4+Settings!$B$5,0),0)</f>
        <v>0</v>
      </c>
      <c r="AH60" s="21" t="str">
        <f>IFERROR(IF(U60="","",IFERROR(VLOOKUP(U60,'Bucket Status'!$A$4:$B$75,2,FALSE()),0)-(SUMIF($U$5:$U59,U60,$AK$5:$AK59)+SUMIF($V$5:$V59,U60,$AL$5:$AL59)+SUMIF($Y$5:$Y59,U60,$AA$5:$AA59)+SUMIF($AC$5:$AC59,U60,$AE$5:$AE59))),"")</f>
        <v/>
      </c>
      <c r="AI60" s="22" t="str">
        <f>IFERROR(IF(V60="","",IFERROR(VLOOKUP(V60,'Bucket Status'!$A$4:$B$75,2,FALSE()),0)-(SUMIF($U$5:$U59,V60,$AK$5:$AK59)+SUMIF($V$5:$V59,V60,$AL$5:$AL59)+SUMIF($Y$5:$Y59,V60,$AA$5:$AA59)+SUMIF($AC$5:$AC59,V60,$AE$5:$AE59))),"")</f>
        <v/>
      </c>
      <c r="AJ60" s="23" t="str">
        <f t="shared" si="37"/>
        <v/>
      </c>
      <c r="AK60" s="21" t="str">
        <f t="shared" si="38"/>
        <v/>
      </c>
      <c r="AL60" s="22" t="str">
        <f t="shared" si="39"/>
        <v/>
      </c>
    </row>
    <row r="61" spans="1:38" ht="18" customHeight="1" x14ac:dyDescent="0.3">
      <c r="A61" s="3"/>
      <c r="B61" s="50"/>
      <c r="C61" s="4"/>
      <c r="D61" s="5"/>
      <c r="E61" s="5"/>
      <c r="F61" s="6"/>
      <c r="G61" s="6"/>
      <c r="H61" s="7"/>
      <c r="I61" s="8" t="str">
        <f t="shared" si="24"/>
        <v/>
      </c>
      <c r="J61" s="9" t="str">
        <f t="shared" si="25"/>
        <v/>
      </c>
      <c r="K61" s="10" t="str">
        <f t="shared" si="26"/>
        <v/>
      </c>
      <c r="L61" s="11" t="str">
        <f t="shared" si="27"/>
        <v/>
      </c>
      <c r="M61" s="12" t="str">
        <f t="shared" si="28"/>
        <v/>
      </c>
      <c r="N61" s="13" t="str">
        <f t="shared" si="29"/>
        <v/>
      </c>
      <c r="O61" s="14" t="str">
        <f t="shared" si="30"/>
        <v/>
      </c>
      <c r="P61" s="15"/>
      <c r="Q61" s="16" t="str">
        <f t="shared" si="40"/>
        <v/>
      </c>
      <c r="R61" s="16" t="str">
        <f t="shared" si="41"/>
        <v/>
      </c>
      <c r="S61" s="17" t="str">
        <f t="shared" si="42"/>
        <v/>
      </c>
      <c r="T61" s="17" t="str">
        <f t="shared" si="43"/>
        <v/>
      </c>
      <c r="U61" s="16" t="str">
        <f t="shared" si="31"/>
        <v/>
      </c>
      <c r="V61" s="17" t="str">
        <f t="shared" si="32"/>
        <v/>
      </c>
      <c r="W61" s="18">
        <f t="shared" si="44"/>
        <v>0</v>
      </c>
      <c r="X61" s="18">
        <f t="shared" si="45"/>
        <v>0</v>
      </c>
      <c r="Y61" s="18" t="str">
        <f t="shared" si="46"/>
        <v/>
      </c>
      <c r="Z61" s="19">
        <f>IF(W61=1,MAX(0,MIN(Settings!$B$6,(IFERROR(VLOOKUP(U60,'Bucket Status'!$A$4:$B$75,2,FALSE()),0)-(SUMIF($U$5:$U60,U60,$AK$5:$AK60)+SUMIF($V$5:$V60,U60,$AL$5:$AL60)+SUMIF($Y$5:$Y60,U60,$AA$5:$AA60)+SUMIF($AC$5:$AC60,U60,$AE$5:$AE60))))),IF(AB60&gt;0,AB60,0))</f>
        <v>0</v>
      </c>
      <c r="AA61" s="19">
        <f t="shared" si="33"/>
        <v>0</v>
      </c>
      <c r="AB61" s="19">
        <f t="shared" si="34"/>
        <v>0</v>
      </c>
      <c r="AC61" s="18" t="str">
        <f t="shared" si="47"/>
        <v/>
      </c>
      <c r="AD61" s="19">
        <f>IF(X61=1,MAX(0,MIN(Settings!$B$6-Z61,(IFERROR(VLOOKUP(V60,'Bucket Status'!$A$4:$B$75,2,FALSE()),0)-(SUMIF($U$5:$U60,V60,$AK$5:$AK60)+SUMIF($V$5:$V60,V60,$AL$5:$AL60)+SUMIF($Y$5:$Y60,V60,$AA$5:$AA60)+SUMIF($AC$5:$AC60,V60,$AE$5:$AE60))))),IF(AF60&gt;0,AF60,0))</f>
        <v>0</v>
      </c>
      <c r="AE61" s="19">
        <f t="shared" si="35"/>
        <v>0</v>
      </c>
      <c r="AF61" s="19">
        <f t="shared" si="36"/>
        <v>0</v>
      </c>
      <c r="AG61" s="20">
        <f>IFERROR(IF(C61="Y",Settings!$B$4+Settings!$B$5,0),0)</f>
        <v>0</v>
      </c>
      <c r="AH61" s="21" t="str">
        <f>IFERROR(IF(U61="","",IFERROR(VLOOKUP(U61,'Bucket Status'!$A$4:$B$75,2,FALSE()),0)-(SUMIF($U$5:$U60,U61,$AK$5:$AK60)+SUMIF($V$5:$V60,U61,$AL$5:$AL60)+SUMIF($Y$5:$Y60,U61,$AA$5:$AA60)+SUMIF($AC$5:$AC60,U61,$AE$5:$AE60))),"")</f>
        <v/>
      </c>
      <c r="AI61" s="22" t="str">
        <f>IFERROR(IF(V61="","",IFERROR(VLOOKUP(V61,'Bucket Status'!$A$4:$B$75,2,FALSE()),0)-(SUMIF($U$5:$U60,V61,$AK$5:$AK60)+SUMIF($V$5:$V60,V61,$AL$5:$AL60)+SUMIF($Y$5:$Y60,V61,$AA$5:$AA60)+SUMIF($AC$5:$AC60,V61,$AE$5:$AE60))),"")</f>
        <v/>
      </c>
      <c r="AJ61" s="23" t="str">
        <f t="shared" si="37"/>
        <v/>
      </c>
      <c r="AK61" s="21" t="str">
        <f t="shared" si="38"/>
        <v/>
      </c>
      <c r="AL61" s="22" t="str">
        <f t="shared" si="39"/>
        <v/>
      </c>
    </row>
    <row r="62" spans="1:38" ht="18" customHeight="1" x14ac:dyDescent="0.3">
      <c r="A62" s="3"/>
      <c r="B62" s="50"/>
      <c r="C62" s="4"/>
      <c r="D62" s="5"/>
      <c r="E62" s="5"/>
      <c r="F62" s="6"/>
      <c r="G62" s="6"/>
      <c r="H62" s="7"/>
      <c r="I62" s="8" t="str">
        <f t="shared" si="24"/>
        <v/>
      </c>
      <c r="J62" s="9" t="str">
        <f t="shared" si="25"/>
        <v/>
      </c>
      <c r="K62" s="10" t="str">
        <f t="shared" si="26"/>
        <v/>
      </c>
      <c r="L62" s="11" t="str">
        <f t="shared" si="27"/>
        <v/>
      </c>
      <c r="M62" s="12" t="str">
        <f t="shared" si="28"/>
        <v/>
      </c>
      <c r="N62" s="13" t="str">
        <f t="shared" si="29"/>
        <v/>
      </c>
      <c r="O62" s="14" t="str">
        <f t="shared" si="30"/>
        <v/>
      </c>
      <c r="P62" s="15"/>
      <c r="Q62" s="16" t="str">
        <f t="shared" si="40"/>
        <v/>
      </c>
      <c r="R62" s="16" t="str">
        <f t="shared" si="41"/>
        <v/>
      </c>
      <c r="S62" s="17" t="str">
        <f t="shared" si="42"/>
        <v/>
      </c>
      <c r="T62" s="17" t="str">
        <f t="shared" si="43"/>
        <v/>
      </c>
      <c r="U62" s="16" t="str">
        <f t="shared" si="31"/>
        <v/>
      </c>
      <c r="V62" s="17" t="str">
        <f t="shared" si="32"/>
        <v/>
      </c>
      <c r="W62" s="18">
        <f t="shared" si="44"/>
        <v>0</v>
      </c>
      <c r="X62" s="18">
        <f t="shared" si="45"/>
        <v>0</v>
      </c>
      <c r="Y62" s="18" t="str">
        <f t="shared" si="46"/>
        <v/>
      </c>
      <c r="Z62" s="19">
        <f>IF(W62=1,MAX(0,MIN(Settings!$B$6,(IFERROR(VLOOKUP(U61,'Bucket Status'!$A$4:$B$75,2,FALSE()),0)-(SUMIF($U$5:$U61,U61,$AK$5:$AK61)+SUMIF($V$5:$V61,U61,$AL$5:$AL61)+SUMIF($Y$5:$Y61,U61,$AA$5:$AA61)+SUMIF($AC$5:$AC61,U61,$AE$5:$AE61))))),IF(AB61&gt;0,AB61,0))</f>
        <v>0</v>
      </c>
      <c r="AA62" s="19">
        <f t="shared" si="33"/>
        <v>0</v>
      </c>
      <c r="AB62" s="19">
        <f t="shared" si="34"/>
        <v>0</v>
      </c>
      <c r="AC62" s="18" t="str">
        <f t="shared" si="47"/>
        <v/>
      </c>
      <c r="AD62" s="19">
        <f>IF(X62=1,MAX(0,MIN(Settings!$B$6-Z62,(IFERROR(VLOOKUP(V61,'Bucket Status'!$A$4:$B$75,2,FALSE()),0)-(SUMIF($U$5:$U61,V61,$AK$5:$AK61)+SUMIF($V$5:$V61,V61,$AL$5:$AL61)+SUMIF($Y$5:$Y61,V61,$AA$5:$AA61)+SUMIF($AC$5:$AC61,V61,$AE$5:$AE61))))),IF(AF61&gt;0,AF61,0))</f>
        <v>0</v>
      </c>
      <c r="AE62" s="19">
        <f t="shared" si="35"/>
        <v>0</v>
      </c>
      <c r="AF62" s="19">
        <f t="shared" si="36"/>
        <v>0</v>
      </c>
      <c r="AG62" s="20">
        <f>IFERROR(IF(C62="Y",Settings!$B$4+Settings!$B$5,0),0)</f>
        <v>0</v>
      </c>
      <c r="AH62" s="21" t="str">
        <f>IFERROR(IF(U62="","",IFERROR(VLOOKUP(U62,'Bucket Status'!$A$4:$B$75,2,FALSE()),0)-(SUMIF($U$5:$U61,U62,$AK$5:$AK61)+SUMIF($V$5:$V61,U62,$AL$5:$AL61)+SUMIF($Y$5:$Y61,U62,$AA$5:$AA61)+SUMIF($AC$5:$AC61,U62,$AE$5:$AE61))),"")</f>
        <v/>
      </c>
      <c r="AI62" s="22" t="str">
        <f>IFERROR(IF(V62="","",IFERROR(VLOOKUP(V62,'Bucket Status'!$A$4:$B$75,2,FALSE()),0)-(SUMIF($U$5:$U61,V62,$AK$5:$AK61)+SUMIF($V$5:$V61,V62,$AL$5:$AL61)+SUMIF($Y$5:$Y61,V62,$AA$5:$AA61)+SUMIF($AC$5:$AC61,V62,$AE$5:$AE61))),"")</f>
        <v/>
      </c>
      <c r="AJ62" s="23" t="str">
        <f t="shared" si="37"/>
        <v/>
      </c>
      <c r="AK62" s="21" t="str">
        <f t="shared" si="38"/>
        <v/>
      </c>
      <c r="AL62" s="22" t="str">
        <f t="shared" si="39"/>
        <v/>
      </c>
    </row>
    <row r="63" spans="1:38" ht="18" customHeight="1" x14ac:dyDescent="0.3">
      <c r="A63" s="3"/>
      <c r="B63" s="50"/>
      <c r="C63" s="4"/>
      <c r="D63" s="5"/>
      <c r="E63" s="5"/>
      <c r="F63" s="6"/>
      <c r="G63" s="6"/>
      <c r="H63" s="7"/>
      <c r="I63" s="8" t="str">
        <f t="shared" si="24"/>
        <v/>
      </c>
      <c r="J63" s="9" t="str">
        <f t="shared" si="25"/>
        <v/>
      </c>
      <c r="K63" s="10" t="str">
        <f t="shared" si="26"/>
        <v/>
      </c>
      <c r="L63" s="11" t="str">
        <f t="shared" si="27"/>
        <v/>
      </c>
      <c r="M63" s="12" t="str">
        <f t="shared" si="28"/>
        <v/>
      </c>
      <c r="N63" s="13" t="str">
        <f t="shared" si="29"/>
        <v/>
      </c>
      <c r="O63" s="14" t="str">
        <f t="shared" si="30"/>
        <v/>
      </c>
      <c r="P63" s="15"/>
      <c r="Q63" s="16" t="str">
        <f t="shared" si="40"/>
        <v/>
      </c>
      <c r="R63" s="16" t="str">
        <f t="shared" si="41"/>
        <v/>
      </c>
      <c r="S63" s="17" t="str">
        <f t="shared" si="42"/>
        <v/>
      </c>
      <c r="T63" s="17" t="str">
        <f t="shared" si="43"/>
        <v/>
      </c>
      <c r="U63" s="16" t="str">
        <f t="shared" si="31"/>
        <v/>
      </c>
      <c r="V63" s="17" t="str">
        <f t="shared" si="32"/>
        <v/>
      </c>
      <c r="W63" s="18">
        <f t="shared" si="44"/>
        <v>0</v>
      </c>
      <c r="X63" s="18">
        <f t="shared" si="45"/>
        <v>0</v>
      </c>
      <c r="Y63" s="18" t="str">
        <f t="shared" si="46"/>
        <v/>
      </c>
      <c r="Z63" s="19">
        <f>IF(W63=1,MAX(0,MIN(Settings!$B$6,(IFERROR(VLOOKUP(U62,'Bucket Status'!$A$4:$B$75,2,FALSE()),0)-(SUMIF($U$5:$U62,U62,$AK$5:$AK62)+SUMIF($V$5:$V62,U62,$AL$5:$AL62)+SUMIF($Y$5:$Y62,U62,$AA$5:$AA62)+SUMIF($AC$5:$AC62,U62,$AE$5:$AE62))))),IF(AB62&gt;0,AB62,0))</f>
        <v>0</v>
      </c>
      <c r="AA63" s="19">
        <f t="shared" si="33"/>
        <v>0</v>
      </c>
      <c r="AB63" s="19">
        <f t="shared" si="34"/>
        <v>0</v>
      </c>
      <c r="AC63" s="18" t="str">
        <f t="shared" si="47"/>
        <v/>
      </c>
      <c r="AD63" s="19">
        <f>IF(X63=1,MAX(0,MIN(Settings!$B$6-Z63,(IFERROR(VLOOKUP(V62,'Bucket Status'!$A$4:$B$75,2,FALSE()),0)-(SUMIF($U$5:$U62,V62,$AK$5:$AK62)+SUMIF($V$5:$V62,V62,$AL$5:$AL62)+SUMIF($Y$5:$Y62,V62,$AA$5:$AA62)+SUMIF($AC$5:$AC62,V62,$AE$5:$AE62))))),IF(AF62&gt;0,AF62,0))</f>
        <v>0</v>
      </c>
      <c r="AE63" s="19">
        <f t="shared" si="35"/>
        <v>0</v>
      </c>
      <c r="AF63" s="19">
        <f t="shared" si="36"/>
        <v>0</v>
      </c>
      <c r="AG63" s="20">
        <f>IFERROR(IF(C63="Y",Settings!$B$4+Settings!$B$5,0),0)</f>
        <v>0</v>
      </c>
      <c r="AH63" s="21" t="str">
        <f>IFERROR(IF(U63="","",IFERROR(VLOOKUP(U63,'Bucket Status'!$A$4:$B$75,2,FALSE()),0)-(SUMIF($U$5:$U62,U63,$AK$5:$AK62)+SUMIF($V$5:$V62,U63,$AL$5:$AL62)+SUMIF($Y$5:$Y62,U63,$AA$5:$AA62)+SUMIF($AC$5:$AC62,U63,$AE$5:$AE62))),"")</f>
        <v/>
      </c>
      <c r="AI63" s="22" t="str">
        <f>IFERROR(IF(V63="","",IFERROR(VLOOKUP(V63,'Bucket Status'!$A$4:$B$75,2,FALSE()),0)-(SUMIF($U$5:$U62,V63,$AK$5:$AK62)+SUMIF($V$5:$V62,V63,$AL$5:$AL62)+SUMIF($Y$5:$Y62,V63,$AA$5:$AA62)+SUMIF($AC$5:$AC62,V63,$AE$5:$AE62))),"")</f>
        <v/>
      </c>
      <c r="AJ63" s="23" t="str">
        <f t="shared" si="37"/>
        <v/>
      </c>
      <c r="AK63" s="21" t="str">
        <f t="shared" si="38"/>
        <v/>
      </c>
      <c r="AL63" s="22" t="str">
        <f t="shared" si="39"/>
        <v/>
      </c>
    </row>
    <row r="64" spans="1:38" ht="18" customHeight="1" x14ac:dyDescent="0.3">
      <c r="A64" s="3"/>
      <c r="B64" s="50"/>
      <c r="C64" s="4"/>
      <c r="D64" s="5"/>
      <c r="E64" s="5"/>
      <c r="F64" s="6"/>
      <c r="G64" s="6"/>
      <c r="H64" s="7"/>
      <c r="I64" s="8" t="str">
        <f t="shared" si="24"/>
        <v/>
      </c>
      <c r="J64" s="9" t="str">
        <f t="shared" si="25"/>
        <v/>
      </c>
      <c r="K64" s="10" t="str">
        <f t="shared" si="26"/>
        <v/>
      </c>
      <c r="L64" s="11" t="str">
        <f t="shared" si="27"/>
        <v/>
      </c>
      <c r="M64" s="12" t="str">
        <f t="shared" si="28"/>
        <v/>
      </c>
      <c r="N64" s="13" t="str">
        <f t="shared" si="29"/>
        <v/>
      </c>
      <c r="O64" s="14" t="str">
        <f t="shared" si="30"/>
        <v/>
      </c>
      <c r="P64" s="15"/>
      <c r="Q64" s="16" t="str">
        <f t="shared" si="40"/>
        <v/>
      </c>
      <c r="R64" s="16" t="str">
        <f t="shared" si="41"/>
        <v/>
      </c>
      <c r="S64" s="17" t="str">
        <f t="shared" si="42"/>
        <v/>
      </c>
      <c r="T64" s="17" t="str">
        <f t="shared" si="43"/>
        <v/>
      </c>
      <c r="U64" s="16" t="str">
        <f t="shared" si="31"/>
        <v/>
      </c>
      <c r="V64" s="17" t="str">
        <f t="shared" si="32"/>
        <v/>
      </c>
      <c r="W64" s="18">
        <f t="shared" si="44"/>
        <v>0</v>
      </c>
      <c r="X64" s="18">
        <f t="shared" si="45"/>
        <v>0</v>
      </c>
      <c r="Y64" s="18" t="str">
        <f t="shared" si="46"/>
        <v/>
      </c>
      <c r="Z64" s="19">
        <f>IF(W64=1,MAX(0,MIN(Settings!$B$6,(IFERROR(VLOOKUP(U63,'Bucket Status'!$A$4:$B$75,2,FALSE()),0)-(SUMIF($U$5:$U63,U63,$AK$5:$AK63)+SUMIF($V$5:$V63,U63,$AL$5:$AL63)+SUMIF($Y$5:$Y63,U63,$AA$5:$AA63)+SUMIF($AC$5:$AC63,U63,$AE$5:$AE63))))),IF(AB63&gt;0,AB63,0))</f>
        <v>0</v>
      </c>
      <c r="AA64" s="19">
        <f t="shared" si="33"/>
        <v>0</v>
      </c>
      <c r="AB64" s="19">
        <f t="shared" si="34"/>
        <v>0</v>
      </c>
      <c r="AC64" s="18" t="str">
        <f t="shared" si="47"/>
        <v/>
      </c>
      <c r="AD64" s="19">
        <f>IF(X64=1,MAX(0,MIN(Settings!$B$6-Z64,(IFERROR(VLOOKUP(V63,'Bucket Status'!$A$4:$B$75,2,FALSE()),0)-(SUMIF($U$5:$U63,V63,$AK$5:$AK63)+SUMIF($V$5:$V63,V63,$AL$5:$AL63)+SUMIF($Y$5:$Y63,V63,$AA$5:$AA63)+SUMIF($AC$5:$AC63,V63,$AE$5:$AE63))))),IF(AF63&gt;0,AF63,0))</f>
        <v>0</v>
      </c>
      <c r="AE64" s="19">
        <f t="shared" si="35"/>
        <v>0</v>
      </c>
      <c r="AF64" s="19">
        <f t="shared" si="36"/>
        <v>0</v>
      </c>
      <c r="AG64" s="20">
        <f>IFERROR(IF(C64="Y",Settings!$B$4+Settings!$B$5,0),0)</f>
        <v>0</v>
      </c>
      <c r="AH64" s="21" t="str">
        <f>IFERROR(IF(U64="","",IFERROR(VLOOKUP(U64,'Bucket Status'!$A$4:$B$75,2,FALSE()),0)-(SUMIF($U$5:$U63,U64,$AK$5:$AK63)+SUMIF($V$5:$V63,U64,$AL$5:$AL63)+SUMIF($Y$5:$Y63,U64,$AA$5:$AA63)+SUMIF($AC$5:$AC63,U64,$AE$5:$AE63))),"")</f>
        <v/>
      </c>
      <c r="AI64" s="22" t="str">
        <f>IFERROR(IF(V64="","",IFERROR(VLOOKUP(V64,'Bucket Status'!$A$4:$B$75,2,FALSE()),0)-(SUMIF($U$5:$U63,V64,$AK$5:$AK63)+SUMIF($V$5:$V63,V64,$AL$5:$AL63)+SUMIF($Y$5:$Y63,V64,$AA$5:$AA63)+SUMIF($AC$5:$AC63,V64,$AE$5:$AE63))),"")</f>
        <v/>
      </c>
      <c r="AJ64" s="23" t="str">
        <f t="shared" si="37"/>
        <v/>
      </c>
      <c r="AK64" s="21" t="str">
        <f t="shared" si="38"/>
        <v/>
      </c>
      <c r="AL64" s="22" t="str">
        <f t="shared" si="39"/>
        <v/>
      </c>
    </row>
    <row r="65" spans="1:38" ht="18" customHeight="1" x14ac:dyDescent="0.3">
      <c r="A65" s="3"/>
      <c r="B65" s="50"/>
      <c r="C65" s="4"/>
      <c r="D65" s="5"/>
      <c r="E65" s="5"/>
      <c r="F65" s="6"/>
      <c r="G65" s="6"/>
      <c r="H65" s="7"/>
      <c r="I65" s="8" t="str">
        <f t="shared" si="24"/>
        <v/>
      </c>
      <c r="J65" s="9" t="str">
        <f t="shared" si="25"/>
        <v/>
      </c>
      <c r="K65" s="10" t="str">
        <f t="shared" si="26"/>
        <v/>
      </c>
      <c r="L65" s="11" t="str">
        <f t="shared" si="27"/>
        <v/>
      </c>
      <c r="M65" s="12" t="str">
        <f t="shared" si="28"/>
        <v/>
      </c>
      <c r="N65" s="13" t="str">
        <f t="shared" si="29"/>
        <v/>
      </c>
      <c r="O65" s="14" t="str">
        <f t="shared" si="30"/>
        <v/>
      </c>
      <c r="P65" s="15"/>
      <c r="Q65" s="16" t="str">
        <f t="shared" si="40"/>
        <v/>
      </c>
      <c r="R65" s="16" t="str">
        <f t="shared" si="41"/>
        <v/>
      </c>
      <c r="S65" s="17" t="str">
        <f t="shared" si="42"/>
        <v/>
      </c>
      <c r="T65" s="17" t="str">
        <f t="shared" si="43"/>
        <v/>
      </c>
      <c r="U65" s="16" t="str">
        <f t="shared" si="31"/>
        <v/>
      </c>
      <c r="V65" s="17" t="str">
        <f t="shared" si="32"/>
        <v/>
      </c>
      <c r="W65" s="18">
        <f t="shared" si="44"/>
        <v>0</v>
      </c>
      <c r="X65" s="18">
        <f t="shared" si="45"/>
        <v>0</v>
      </c>
      <c r="Y65" s="18" t="str">
        <f t="shared" si="46"/>
        <v/>
      </c>
      <c r="Z65" s="19">
        <f>IF(W65=1,MAX(0,MIN(Settings!$B$6,(IFERROR(VLOOKUP(U64,'Bucket Status'!$A$4:$B$75,2,FALSE()),0)-(SUMIF($U$5:$U64,U64,$AK$5:$AK64)+SUMIF($V$5:$V64,U64,$AL$5:$AL64)+SUMIF($Y$5:$Y64,U64,$AA$5:$AA64)+SUMIF($AC$5:$AC64,U64,$AE$5:$AE64))))),IF(AB64&gt;0,AB64,0))</f>
        <v>0</v>
      </c>
      <c r="AA65" s="19">
        <f t="shared" si="33"/>
        <v>0</v>
      </c>
      <c r="AB65" s="19">
        <f t="shared" si="34"/>
        <v>0</v>
      </c>
      <c r="AC65" s="18" t="str">
        <f t="shared" si="47"/>
        <v/>
      </c>
      <c r="AD65" s="19">
        <f>IF(X65=1,MAX(0,MIN(Settings!$B$6-Z65,(IFERROR(VLOOKUP(V64,'Bucket Status'!$A$4:$B$75,2,FALSE()),0)-(SUMIF($U$5:$U64,V64,$AK$5:$AK64)+SUMIF($V$5:$V64,V64,$AL$5:$AL64)+SUMIF($Y$5:$Y64,V64,$AA$5:$AA64)+SUMIF($AC$5:$AC64,V64,$AE$5:$AE64))))),IF(AF64&gt;0,AF64,0))</f>
        <v>0</v>
      </c>
      <c r="AE65" s="19">
        <f t="shared" si="35"/>
        <v>0</v>
      </c>
      <c r="AF65" s="19">
        <f t="shared" si="36"/>
        <v>0</v>
      </c>
      <c r="AG65" s="20">
        <f>IFERROR(IF(C65="Y",Settings!$B$4+Settings!$B$5,0),0)</f>
        <v>0</v>
      </c>
      <c r="AH65" s="21" t="str">
        <f>IFERROR(IF(U65="","",IFERROR(VLOOKUP(U65,'Bucket Status'!$A$4:$B$75,2,FALSE()),0)-(SUMIF($U$5:$U64,U65,$AK$5:$AK64)+SUMIF($V$5:$V64,U65,$AL$5:$AL64)+SUMIF($Y$5:$Y64,U65,$AA$5:$AA64)+SUMIF($AC$5:$AC64,U65,$AE$5:$AE64))),"")</f>
        <v/>
      </c>
      <c r="AI65" s="22" t="str">
        <f>IFERROR(IF(V65="","",IFERROR(VLOOKUP(V65,'Bucket Status'!$A$4:$B$75,2,FALSE()),0)-(SUMIF($U$5:$U64,V65,$AK$5:$AK64)+SUMIF($V$5:$V64,V65,$AL$5:$AL64)+SUMIF($Y$5:$Y64,V65,$AA$5:$AA64)+SUMIF($AC$5:$AC64,V65,$AE$5:$AE64))),"")</f>
        <v/>
      </c>
      <c r="AJ65" s="23" t="str">
        <f t="shared" si="37"/>
        <v/>
      </c>
      <c r="AK65" s="21" t="str">
        <f t="shared" si="38"/>
        <v/>
      </c>
      <c r="AL65" s="22" t="str">
        <f t="shared" si="39"/>
        <v/>
      </c>
    </row>
    <row r="66" spans="1:38" ht="18" customHeight="1" x14ac:dyDescent="0.3">
      <c r="A66" s="3"/>
      <c r="B66" s="50"/>
      <c r="C66" s="4"/>
      <c r="D66" s="5"/>
      <c r="E66" s="5"/>
      <c r="F66" s="6"/>
      <c r="G66" s="6"/>
      <c r="H66" s="7"/>
      <c r="I66" s="8" t="str">
        <f t="shared" si="24"/>
        <v/>
      </c>
      <c r="J66" s="9" t="str">
        <f t="shared" si="25"/>
        <v/>
      </c>
      <c r="K66" s="10" t="str">
        <f t="shared" si="26"/>
        <v/>
      </c>
      <c r="L66" s="11" t="str">
        <f t="shared" si="27"/>
        <v/>
      </c>
      <c r="M66" s="12" t="str">
        <f t="shared" si="28"/>
        <v/>
      </c>
      <c r="N66" s="13" t="str">
        <f t="shared" si="29"/>
        <v/>
      </c>
      <c r="O66" s="14" t="str">
        <f t="shared" si="30"/>
        <v/>
      </c>
      <c r="P66" s="15"/>
      <c r="Q66" s="16" t="str">
        <f t="shared" si="40"/>
        <v/>
      </c>
      <c r="R66" s="16" t="str">
        <f t="shared" si="41"/>
        <v/>
      </c>
      <c r="S66" s="17" t="str">
        <f t="shared" si="42"/>
        <v/>
      </c>
      <c r="T66" s="17" t="str">
        <f t="shared" si="43"/>
        <v/>
      </c>
      <c r="U66" s="16" t="str">
        <f t="shared" si="31"/>
        <v/>
      </c>
      <c r="V66" s="17" t="str">
        <f t="shared" si="32"/>
        <v/>
      </c>
      <c r="W66" s="18">
        <f t="shared" si="44"/>
        <v>0</v>
      </c>
      <c r="X66" s="18">
        <f t="shared" si="45"/>
        <v>0</v>
      </c>
      <c r="Y66" s="18" t="str">
        <f t="shared" si="46"/>
        <v/>
      </c>
      <c r="Z66" s="19">
        <f>IF(W66=1,MAX(0,MIN(Settings!$B$6,(IFERROR(VLOOKUP(U65,'Bucket Status'!$A$4:$B$75,2,FALSE()),0)-(SUMIF($U$5:$U65,U65,$AK$5:$AK65)+SUMIF($V$5:$V65,U65,$AL$5:$AL65)+SUMIF($Y$5:$Y65,U65,$AA$5:$AA65)+SUMIF($AC$5:$AC65,U65,$AE$5:$AE65))))),IF(AB65&gt;0,AB65,0))</f>
        <v>0</v>
      </c>
      <c r="AA66" s="19">
        <f t="shared" si="33"/>
        <v>0</v>
      </c>
      <c r="AB66" s="19">
        <f t="shared" si="34"/>
        <v>0</v>
      </c>
      <c r="AC66" s="18" t="str">
        <f t="shared" si="47"/>
        <v/>
      </c>
      <c r="AD66" s="19">
        <f>IF(X66=1,MAX(0,MIN(Settings!$B$6-Z66,(IFERROR(VLOOKUP(V65,'Bucket Status'!$A$4:$B$75,2,FALSE()),0)-(SUMIF($U$5:$U65,V65,$AK$5:$AK65)+SUMIF($V$5:$V65,V65,$AL$5:$AL65)+SUMIF($Y$5:$Y65,V65,$AA$5:$AA65)+SUMIF($AC$5:$AC65,V65,$AE$5:$AE65))))),IF(AF65&gt;0,AF65,0))</f>
        <v>0</v>
      </c>
      <c r="AE66" s="19">
        <f t="shared" si="35"/>
        <v>0</v>
      </c>
      <c r="AF66" s="19">
        <f t="shared" si="36"/>
        <v>0</v>
      </c>
      <c r="AG66" s="20">
        <f>IFERROR(IF(C66="Y",Settings!$B$4+Settings!$B$5,0),0)</f>
        <v>0</v>
      </c>
      <c r="AH66" s="21" t="str">
        <f>IFERROR(IF(U66="","",IFERROR(VLOOKUP(U66,'Bucket Status'!$A$4:$B$75,2,FALSE()),0)-(SUMIF($U$5:$U65,U66,$AK$5:$AK65)+SUMIF($V$5:$V65,U66,$AL$5:$AL65)+SUMIF($Y$5:$Y65,U66,$AA$5:$AA65)+SUMIF($AC$5:$AC65,U66,$AE$5:$AE65))),"")</f>
        <v/>
      </c>
      <c r="AI66" s="22" t="str">
        <f>IFERROR(IF(V66="","",IFERROR(VLOOKUP(V66,'Bucket Status'!$A$4:$B$75,2,FALSE()),0)-(SUMIF($U$5:$U65,V66,$AK$5:$AK65)+SUMIF($V$5:$V65,V66,$AL$5:$AL65)+SUMIF($Y$5:$Y65,V66,$AA$5:$AA65)+SUMIF($AC$5:$AC65,V66,$AE$5:$AE65))),"")</f>
        <v/>
      </c>
      <c r="AJ66" s="23" t="str">
        <f t="shared" si="37"/>
        <v/>
      </c>
      <c r="AK66" s="21" t="str">
        <f t="shared" si="38"/>
        <v/>
      </c>
      <c r="AL66" s="22" t="str">
        <f t="shared" si="39"/>
        <v/>
      </c>
    </row>
    <row r="67" spans="1:38" ht="18" customHeight="1" x14ac:dyDescent="0.3">
      <c r="A67" s="3"/>
      <c r="B67" s="50"/>
      <c r="C67" s="4"/>
      <c r="D67" s="5"/>
      <c r="E67" s="5"/>
      <c r="F67" s="6"/>
      <c r="G67" s="6"/>
      <c r="H67" s="7"/>
      <c r="I67" s="8" t="str">
        <f t="shared" si="24"/>
        <v/>
      </c>
      <c r="J67" s="9" t="str">
        <f t="shared" si="25"/>
        <v/>
      </c>
      <c r="K67" s="10" t="str">
        <f t="shared" si="26"/>
        <v/>
      </c>
      <c r="L67" s="11" t="str">
        <f t="shared" si="27"/>
        <v/>
      </c>
      <c r="M67" s="12" t="str">
        <f t="shared" si="28"/>
        <v/>
      </c>
      <c r="N67" s="13" t="str">
        <f t="shared" si="29"/>
        <v/>
      </c>
      <c r="O67" s="14" t="str">
        <f t="shared" si="30"/>
        <v/>
      </c>
      <c r="P67" s="15"/>
      <c r="Q67" s="16" t="str">
        <f t="shared" si="40"/>
        <v/>
      </c>
      <c r="R67" s="16" t="str">
        <f t="shared" si="41"/>
        <v/>
      </c>
      <c r="S67" s="17" t="str">
        <f t="shared" si="42"/>
        <v/>
      </c>
      <c r="T67" s="17" t="str">
        <f t="shared" si="43"/>
        <v/>
      </c>
      <c r="U67" s="16" t="str">
        <f t="shared" si="31"/>
        <v/>
      </c>
      <c r="V67" s="17" t="str">
        <f t="shared" si="32"/>
        <v/>
      </c>
      <c r="W67" s="18">
        <f t="shared" si="44"/>
        <v>0</v>
      </c>
      <c r="X67" s="18">
        <f t="shared" si="45"/>
        <v>0</v>
      </c>
      <c r="Y67" s="18" t="str">
        <f t="shared" si="46"/>
        <v/>
      </c>
      <c r="Z67" s="19">
        <f>IF(W67=1,MAX(0,MIN(Settings!$B$6,(IFERROR(VLOOKUP(U66,'Bucket Status'!$A$4:$B$75,2,FALSE()),0)-(SUMIF($U$5:$U66,U66,$AK$5:$AK66)+SUMIF($V$5:$V66,U66,$AL$5:$AL66)+SUMIF($Y$5:$Y66,U66,$AA$5:$AA66)+SUMIF($AC$5:$AC66,U66,$AE$5:$AE66))))),IF(AB66&gt;0,AB66,0))</f>
        <v>0</v>
      </c>
      <c r="AA67" s="19">
        <f t="shared" si="33"/>
        <v>0</v>
      </c>
      <c r="AB67" s="19">
        <f t="shared" si="34"/>
        <v>0</v>
      </c>
      <c r="AC67" s="18" t="str">
        <f t="shared" si="47"/>
        <v/>
      </c>
      <c r="AD67" s="19">
        <f>IF(X67=1,MAX(0,MIN(Settings!$B$6-Z67,(IFERROR(VLOOKUP(V66,'Bucket Status'!$A$4:$B$75,2,FALSE()),0)-(SUMIF($U$5:$U66,V66,$AK$5:$AK66)+SUMIF($V$5:$V66,V66,$AL$5:$AL66)+SUMIF($Y$5:$Y66,V66,$AA$5:$AA66)+SUMIF($AC$5:$AC66,V66,$AE$5:$AE66))))),IF(AF66&gt;0,AF66,0))</f>
        <v>0</v>
      </c>
      <c r="AE67" s="19">
        <f t="shared" si="35"/>
        <v>0</v>
      </c>
      <c r="AF67" s="19">
        <f t="shared" si="36"/>
        <v>0</v>
      </c>
      <c r="AG67" s="20">
        <f>IFERROR(IF(C67="Y",Settings!$B$4+Settings!$B$5,0),0)</f>
        <v>0</v>
      </c>
      <c r="AH67" s="21" t="str">
        <f>IFERROR(IF(U67="","",IFERROR(VLOOKUP(U67,'Bucket Status'!$A$4:$B$75,2,FALSE()),0)-(SUMIF($U$5:$U66,U67,$AK$5:$AK66)+SUMIF($V$5:$V66,U67,$AL$5:$AL66)+SUMIF($Y$5:$Y66,U67,$AA$5:$AA66)+SUMIF($AC$5:$AC66,U67,$AE$5:$AE66))),"")</f>
        <v/>
      </c>
      <c r="AI67" s="22" t="str">
        <f>IFERROR(IF(V67="","",IFERROR(VLOOKUP(V67,'Bucket Status'!$A$4:$B$75,2,FALSE()),0)-(SUMIF($U$5:$U66,V67,$AK$5:$AK66)+SUMIF($V$5:$V66,V67,$AL$5:$AL66)+SUMIF($Y$5:$Y66,V67,$AA$5:$AA66)+SUMIF($AC$5:$AC66,V67,$AE$5:$AE66))),"")</f>
        <v/>
      </c>
      <c r="AJ67" s="23" t="str">
        <f t="shared" si="37"/>
        <v/>
      </c>
      <c r="AK67" s="21" t="str">
        <f t="shared" si="38"/>
        <v/>
      </c>
      <c r="AL67" s="22" t="str">
        <f t="shared" si="39"/>
        <v/>
      </c>
    </row>
    <row r="68" spans="1:38" ht="18" customHeight="1" x14ac:dyDescent="0.3">
      <c r="A68" s="3"/>
      <c r="B68" s="50"/>
      <c r="C68" s="4"/>
      <c r="D68" s="5"/>
      <c r="E68" s="5"/>
      <c r="F68" s="6"/>
      <c r="G68" s="6"/>
      <c r="H68" s="7"/>
      <c r="I68" s="8" t="str">
        <f t="shared" si="24"/>
        <v/>
      </c>
      <c r="J68" s="9" t="str">
        <f t="shared" si="25"/>
        <v/>
      </c>
      <c r="K68" s="10" t="str">
        <f t="shared" si="26"/>
        <v/>
      </c>
      <c r="L68" s="11" t="str">
        <f t="shared" si="27"/>
        <v/>
      </c>
      <c r="M68" s="12" t="str">
        <f t="shared" si="28"/>
        <v/>
      </c>
      <c r="N68" s="13" t="str">
        <f t="shared" si="29"/>
        <v/>
      </c>
      <c r="O68" s="14" t="str">
        <f t="shared" si="30"/>
        <v/>
      </c>
      <c r="P68" s="15"/>
      <c r="Q68" s="16" t="str">
        <f t="shared" si="40"/>
        <v/>
      </c>
      <c r="R68" s="16" t="str">
        <f t="shared" si="41"/>
        <v/>
      </c>
      <c r="S68" s="17" t="str">
        <f t="shared" si="42"/>
        <v/>
      </c>
      <c r="T68" s="17" t="str">
        <f t="shared" si="43"/>
        <v/>
      </c>
      <c r="U68" s="16" t="str">
        <f t="shared" si="31"/>
        <v/>
      </c>
      <c r="V68" s="17" t="str">
        <f t="shared" si="32"/>
        <v/>
      </c>
      <c r="W68" s="18">
        <f t="shared" si="44"/>
        <v>0</v>
      </c>
      <c r="X68" s="18">
        <f t="shared" si="45"/>
        <v>0</v>
      </c>
      <c r="Y68" s="18" t="str">
        <f t="shared" si="46"/>
        <v/>
      </c>
      <c r="Z68" s="19">
        <f>IF(W68=1,MAX(0,MIN(Settings!$B$6,(IFERROR(VLOOKUP(U67,'Bucket Status'!$A$4:$B$75,2,FALSE()),0)-(SUMIF($U$5:$U67,U67,$AK$5:$AK67)+SUMIF($V$5:$V67,U67,$AL$5:$AL67)+SUMIF($Y$5:$Y67,U67,$AA$5:$AA67)+SUMIF($AC$5:$AC67,U67,$AE$5:$AE67))))),IF(AB67&gt;0,AB67,0))</f>
        <v>0</v>
      </c>
      <c r="AA68" s="19">
        <f t="shared" si="33"/>
        <v>0</v>
      </c>
      <c r="AB68" s="19">
        <f t="shared" si="34"/>
        <v>0</v>
      </c>
      <c r="AC68" s="18" t="str">
        <f t="shared" si="47"/>
        <v/>
      </c>
      <c r="AD68" s="19">
        <f>IF(X68=1,MAX(0,MIN(Settings!$B$6-Z68,(IFERROR(VLOOKUP(V67,'Bucket Status'!$A$4:$B$75,2,FALSE()),0)-(SUMIF($U$5:$U67,V67,$AK$5:$AK67)+SUMIF($V$5:$V67,V67,$AL$5:$AL67)+SUMIF($Y$5:$Y67,V67,$AA$5:$AA67)+SUMIF($AC$5:$AC67,V67,$AE$5:$AE67))))),IF(AF67&gt;0,AF67,0))</f>
        <v>0</v>
      </c>
      <c r="AE68" s="19">
        <f t="shared" si="35"/>
        <v>0</v>
      </c>
      <c r="AF68" s="19">
        <f t="shared" si="36"/>
        <v>0</v>
      </c>
      <c r="AG68" s="20">
        <f>IFERROR(IF(C68="Y",Settings!$B$4+Settings!$B$5,0),0)</f>
        <v>0</v>
      </c>
      <c r="AH68" s="21" t="str">
        <f>IFERROR(IF(U68="","",IFERROR(VLOOKUP(U68,'Bucket Status'!$A$4:$B$75,2,FALSE()),0)-(SUMIF($U$5:$U67,U68,$AK$5:$AK67)+SUMIF($V$5:$V67,U68,$AL$5:$AL67)+SUMIF($Y$5:$Y67,U68,$AA$5:$AA67)+SUMIF($AC$5:$AC67,U68,$AE$5:$AE67))),"")</f>
        <v/>
      </c>
      <c r="AI68" s="22" t="str">
        <f>IFERROR(IF(V68="","",IFERROR(VLOOKUP(V68,'Bucket Status'!$A$4:$B$75,2,FALSE()),0)-(SUMIF($U$5:$U67,V68,$AK$5:$AK67)+SUMIF($V$5:$V67,V68,$AL$5:$AL67)+SUMIF($Y$5:$Y67,V68,$AA$5:$AA67)+SUMIF($AC$5:$AC67,V68,$AE$5:$AE67))),"")</f>
        <v/>
      </c>
      <c r="AJ68" s="23" t="str">
        <f t="shared" si="37"/>
        <v/>
      </c>
      <c r="AK68" s="21" t="str">
        <f t="shared" si="38"/>
        <v/>
      </c>
      <c r="AL68" s="22" t="str">
        <f t="shared" si="39"/>
        <v/>
      </c>
    </row>
    <row r="69" spans="1:38" ht="18" customHeight="1" x14ac:dyDescent="0.3">
      <c r="A69" s="3"/>
      <c r="B69" s="50"/>
      <c r="C69" s="4"/>
      <c r="D69" s="5"/>
      <c r="E69" s="5"/>
      <c r="F69" s="6"/>
      <c r="G69" s="6"/>
      <c r="H69" s="7"/>
      <c r="I69" s="8" t="str">
        <f t="shared" ref="I69:I100" si="48">IFERROR(IF(H69="","",H69+AG69),"")</f>
        <v/>
      </c>
      <c r="J69" s="9" t="str">
        <f t="shared" ref="J69:J100" si="49">IFERROR(IF(OR(I69="",AJ69=""),"",AJ69-(AK69+AL69)),"")</f>
        <v/>
      </c>
      <c r="K69" s="10" t="str">
        <f t="shared" ref="K69:K104" si="50">IF(AND(AA69&gt;0,AE69&gt;0),TEXT(AA69,"0.000")&amp;" kg "&amp;Y69&amp;" (funnel)"&amp;"  +  "&amp;TEXT(AE69,"0.000")&amp;" kg "&amp;AC69&amp;" (funnel)",IF(AA69&gt;0,TEXT(AA69,"0.000")&amp;" kg "&amp;Y69&amp;" (funnel)",IF(AE69&gt;0,TEXT(AE69,"0.000")&amp;" kg "&amp;AC69&amp;" (funnel)","")))</f>
        <v/>
      </c>
      <c r="L69" s="11" t="str">
        <f t="shared" ref="L69:L104" si="51">IF(OR(AK69="",AK69=0,U69=""),"",TEXT(AK69,"0.000")&amp;" kg "&amp;U69)</f>
        <v/>
      </c>
      <c r="M69" s="12" t="str">
        <f t="shared" ref="M69:M104" si="52">IF(OR(AL69="",AL69=0,V69=""),"",TEXT(AL69,"0.000")&amp;" kg "&amp;V69)</f>
        <v/>
      </c>
      <c r="N69" s="13" t="str">
        <f t="shared" ref="N69:N104" si="53">IF(OR(I69="",U69=""),"",TEXT(MAX(0,(AH69-AK69-IF(Y69=U69,AA69,0)-IF(AC69=U69,AE69,0))),"0.000")&amp;" kg "&amp;U69)</f>
        <v/>
      </c>
      <c r="O69" s="14" t="str">
        <f t="shared" ref="O69:O104" si="54">IF(OR(I69="",V69=""),"",TEXT(MAX(0,(AI69-AL69-IF(Y69=V69,AA69,0)-IF(AC69=V69,AE69,0))),"0.000")&amp;" kg "&amp;V69)</f>
        <v/>
      </c>
      <c r="P69" s="15"/>
      <c r="Q69" s="16" t="str">
        <f t="shared" si="40"/>
        <v/>
      </c>
      <c r="R69" s="16" t="str">
        <f t="shared" si="41"/>
        <v/>
      </c>
      <c r="S69" s="17" t="str">
        <f t="shared" si="42"/>
        <v/>
      </c>
      <c r="T69" s="17" t="str">
        <f t="shared" si="43"/>
        <v/>
      </c>
      <c r="U69" s="16" t="str">
        <f t="shared" ref="U69:U104" si="55">IF(OR(Q69="",R69=""),"",Q69&amp;R69&amp;"-")</f>
        <v/>
      </c>
      <c r="V69" s="17" t="str">
        <f t="shared" ref="V69:V104" si="56">IF(OR(S69="",T69=""),"",S69&amp;T69&amp;"-")</f>
        <v/>
      </c>
      <c r="W69" s="18">
        <f t="shared" si="44"/>
        <v>0</v>
      </c>
      <c r="X69" s="18">
        <f t="shared" si="45"/>
        <v>0</v>
      </c>
      <c r="Y69" s="18" t="str">
        <f t="shared" si="46"/>
        <v/>
      </c>
      <c r="Z69" s="19">
        <f>IF(W69=1,MAX(0,MIN(Settings!$B$6,(IFERROR(VLOOKUP(U68,'Bucket Status'!$A$4:$B$75,2,FALSE()),0)-(SUMIF($U$5:$U68,U68,$AK$5:$AK68)+SUMIF($V$5:$V68,U68,$AL$5:$AL68)+SUMIF($Y$5:$Y68,U68,$AA$5:$AA68)+SUMIF($AC$5:$AC68,U68,$AE$5:$AE68))))),IF(AB68&gt;0,AB68,0))</f>
        <v>0</v>
      </c>
      <c r="AA69" s="19">
        <f t="shared" ref="AA69:AA100" si="57">IFERROR(IF(I69="",0,MAX(0,MIN(Z69,I69))),0)</f>
        <v>0</v>
      </c>
      <c r="AB69" s="19">
        <f t="shared" ref="AB69:AB100" si="58">IFERROR(Z69-AA69,0)</f>
        <v>0</v>
      </c>
      <c r="AC69" s="18" t="str">
        <f t="shared" si="47"/>
        <v/>
      </c>
      <c r="AD69" s="19">
        <f>IF(X69=1,MAX(0,MIN(Settings!$B$6-Z69,(IFERROR(VLOOKUP(V68,'Bucket Status'!$A$4:$B$75,2,FALSE()),0)-(SUMIF($U$5:$U68,V68,$AK$5:$AK68)+SUMIF($V$5:$V68,V68,$AL$5:$AL68)+SUMIF($Y$5:$Y68,V68,$AA$5:$AA68)+SUMIF($AC$5:$AC68,V68,$AE$5:$AE68))))),IF(AF68&gt;0,AF68,0))</f>
        <v>0</v>
      </c>
      <c r="AE69" s="19">
        <f t="shared" ref="AE69:AE100" si="59">IFERROR(IF(I69="",0,MAX(0,MIN(AD69,I69-AA69))),0)</f>
        <v>0</v>
      </c>
      <c r="AF69" s="19">
        <f t="shared" ref="AF69:AF100" si="60">IFERROR(AD69-AE69,0)</f>
        <v>0</v>
      </c>
      <c r="AG69" s="20">
        <f>IFERROR(IF(C69="Y",Settings!$B$4+Settings!$B$5,0),0)</f>
        <v>0</v>
      </c>
      <c r="AH69" s="21" t="str">
        <f>IFERROR(IF(U69="","",IFERROR(VLOOKUP(U69,'Bucket Status'!$A$4:$B$75,2,FALSE()),0)-(SUMIF($U$5:$U68,U69,$AK$5:$AK68)+SUMIF($V$5:$V68,U69,$AL$5:$AL68)+SUMIF($Y$5:$Y68,U69,$AA$5:$AA68)+SUMIF($AC$5:$AC68,U69,$AE$5:$AE68))),"")</f>
        <v/>
      </c>
      <c r="AI69" s="22" t="str">
        <f>IFERROR(IF(V69="","",IFERROR(VLOOKUP(V69,'Bucket Status'!$A$4:$B$75,2,FALSE()),0)-(SUMIF($U$5:$U68,V69,$AK$5:$AK68)+SUMIF($V$5:$V68,V69,$AL$5:$AL68)+SUMIF($Y$5:$Y68,V69,$AA$5:$AA68)+SUMIF($AC$5:$AC68,V69,$AE$5:$AE68))),"")</f>
        <v/>
      </c>
      <c r="AJ69" s="23" t="str">
        <f t="shared" ref="AJ69:AJ100" si="61">IFERROR(IF(AH69="","",AH69+IF(AI69="",0,AI69)),"")</f>
        <v/>
      </c>
      <c r="AK69" s="21" t="str">
        <f t="shared" ref="AK69:AK104" si="62">IFERROR(IF(I69="","",IF(U69="",0,IF(V69="",(I69-AA69-AE69),MIN(AH69,(I69-AA69-AE69))))),"")</f>
        <v/>
      </c>
      <c r="AL69" s="22" t="str">
        <f t="shared" ref="AL69:AL100" si="63">IFERROR(IF(I69="","",IF(V69="",0,MAX(0,(I69-AA69-AE69)-AK69))),"")</f>
        <v/>
      </c>
    </row>
    <row r="70" spans="1:38" ht="18" customHeight="1" x14ac:dyDescent="0.3">
      <c r="A70" s="3"/>
      <c r="B70" s="50"/>
      <c r="C70" s="4"/>
      <c r="D70" s="5"/>
      <c r="E70" s="5"/>
      <c r="F70" s="6"/>
      <c r="G70" s="6"/>
      <c r="H70" s="7"/>
      <c r="I70" s="8" t="str">
        <f t="shared" si="48"/>
        <v/>
      </c>
      <c r="J70" s="9" t="str">
        <f t="shared" si="49"/>
        <v/>
      </c>
      <c r="K70" s="10" t="str">
        <f t="shared" si="50"/>
        <v/>
      </c>
      <c r="L70" s="11" t="str">
        <f t="shared" si="51"/>
        <v/>
      </c>
      <c r="M70" s="12" t="str">
        <f t="shared" si="52"/>
        <v/>
      </c>
      <c r="N70" s="13" t="str">
        <f t="shared" si="53"/>
        <v/>
      </c>
      <c r="O70" s="14" t="str">
        <f t="shared" si="54"/>
        <v/>
      </c>
      <c r="P70" s="15"/>
      <c r="Q70" s="16" t="str">
        <f t="shared" ref="Q70:Q104" si="64">IF($A70="","",IF(D70="",Q69,D70))</f>
        <v/>
      </c>
      <c r="R70" s="16" t="str">
        <f t="shared" ref="R70:R104" si="65">IF($A70="","",IF(E70="",R69,E70))</f>
        <v/>
      </c>
      <c r="S70" s="17" t="str">
        <f t="shared" ref="S70:S104" si="66">IF($A70="","",IF(F70="",S69,F70))</f>
        <v/>
      </c>
      <c r="T70" s="17" t="str">
        <f t="shared" ref="T70:T104" si="67">IF($A70="","",IF(G70="",T69,G70))</f>
        <v/>
      </c>
      <c r="U70" s="16" t="str">
        <f t="shared" si="55"/>
        <v/>
      </c>
      <c r="V70" s="17" t="str">
        <f t="shared" si="56"/>
        <v/>
      </c>
      <c r="W70" s="18">
        <f t="shared" ref="W70:W104" si="68">IF(AND(U70&lt;&gt;"",U69&lt;&gt;"",U70&lt;&gt;U69),1,0)</f>
        <v>0</v>
      </c>
      <c r="X70" s="18">
        <f t="shared" ref="X70:X104" si="69">IF(AND(V70&lt;&gt;"",V69&lt;&gt;"",V70&lt;&gt;V69),1,0)</f>
        <v>0</v>
      </c>
      <c r="Y70" s="18" t="str">
        <f t="shared" ref="Y70:Y104" si="70">IF(W70=1,U69,IF(AB69&gt;0,Y69,""))</f>
        <v/>
      </c>
      <c r="Z70" s="19">
        <f>IF(W70=1,MAX(0,MIN(Settings!$B$6,(IFERROR(VLOOKUP(U69,'Bucket Status'!$A$4:$B$75,2,FALSE()),0)-(SUMIF($U$5:$U69,U69,$AK$5:$AK69)+SUMIF($V$5:$V69,U69,$AL$5:$AL69)+SUMIF($Y$5:$Y69,U69,$AA$5:$AA69)+SUMIF($AC$5:$AC69,U69,$AE$5:$AE69))))),IF(AB69&gt;0,AB69,0))</f>
        <v>0</v>
      </c>
      <c r="AA70" s="19">
        <f t="shared" si="57"/>
        <v>0</v>
      </c>
      <c r="AB70" s="19">
        <f t="shared" si="58"/>
        <v>0</v>
      </c>
      <c r="AC70" s="18" t="str">
        <f t="shared" ref="AC70:AC104" si="71">IF(X70=1,V69,IF(AF69&gt;0,AC69,""))</f>
        <v/>
      </c>
      <c r="AD70" s="19">
        <f>IF(X70=1,MAX(0,MIN(Settings!$B$6-Z70,(IFERROR(VLOOKUP(V69,'Bucket Status'!$A$4:$B$75,2,FALSE()),0)-(SUMIF($U$5:$U69,V69,$AK$5:$AK69)+SUMIF($V$5:$V69,V69,$AL$5:$AL69)+SUMIF($Y$5:$Y69,V69,$AA$5:$AA69)+SUMIF($AC$5:$AC69,V69,$AE$5:$AE69))))),IF(AF69&gt;0,AF69,0))</f>
        <v>0</v>
      </c>
      <c r="AE70" s="19">
        <f t="shared" si="59"/>
        <v>0</v>
      </c>
      <c r="AF70" s="19">
        <f t="shared" si="60"/>
        <v>0</v>
      </c>
      <c r="AG70" s="20">
        <f>IFERROR(IF(C70="Y",Settings!$B$4+Settings!$B$5,0),0)</f>
        <v>0</v>
      </c>
      <c r="AH70" s="21" t="str">
        <f>IFERROR(IF(U70="","",IFERROR(VLOOKUP(U70,'Bucket Status'!$A$4:$B$75,2,FALSE()),0)-(SUMIF($U$5:$U69,U70,$AK$5:$AK69)+SUMIF($V$5:$V69,U70,$AL$5:$AL69)+SUMIF($Y$5:$Y69,U70,$AA$5:$AA69)+SUMIF($AC$5:$AC69,U70,$AE$5:$AE69))),"")</f>
        <v/>
      </c>
      <c r="AI70" s="22" t="str">
        <f>IFERROR(IF(V70="","",IFERROR(VLOOKUP(V70,'Bucket Status'!$A$4:$B$75,2,FALSE()),0)-(SUMIF($U$5:$U69,V70,$AK$5:$AK69)+SUMIF($V$5:$V69,V70,$AL$5:$AL69)+SUMIF($Y$5:$Y69,V70,$AA$5:$AA69)+SUMIF($AC$5:$AC69,V70,$AE$5:$AE69))),"")</f>
        <v/>
      </c>
      <c r="AJ70" s="23" t="str">
        <f t="shared" si="61"/>
        <v/>
      </c>
      <c r="AK70" s="21" t="str">
        <f t="shared" si="62"/>
        <v/>
      </c>
      <c r="AL70" s="22" t="str">
        <f t="shared" si="63"/>
        <v/>
      </c>
    </row>
    <row r="71" spans="1:38" ht="18" customHeight="1" x14ac:dyDescent="0.3">
      <c r="A71" s="3"/>
      <c r="B71" s="50"/>
      <c r="C71" s="4"/>
      <c r="D71" s="5"/>
      <c r="E71" s="5"/>
      <c r="F71" s="6"/>
      <c r="G71" s="6"/>
      <c r="H71" s="7"/>
      <c r="I71" s="8" t="str">
        <f t="shared" si="48"/>
        <v/>
      </c>
      <c r="J71" s="9" t="str">
        <f t="shared" si="49"/>
        <v/>
      </c>
      <c r="K71" s="10" t="str">
        <f t="shared" si="50"/>
        <v/>
      </c>
      <c r="L71" s="11" t="str">
        <f t="shared" si="51"/>
        <v/>
      </c>
      <c r="M71" s="12" t="str">
        <f t="shared" si="52"/>
        <v/>
      </c>
      <c r="N71" s="13" t="str">
        <f t="shared" si="53"/>
        <v/>
      </c>
      <c r="O71" s="14" t="str">
        <f t="shared" si="54"/>
        <v/>
      </c>
      <c r="P71" s="15"/>
      <c r="Q71" s="16" t="str">
        <f t="shared" si="64"/>
        <v/>
      </c>
      <c r="R71" s="16" t="str">
        <f t="shared" si="65"/>
        <v/>
      </c>
      <c r="S71" s="17" t="str">
        <f t="shared" si="66"/>
        <v/>
      </c>
      <c r="T71" s="17" t="str">
        <f t="shared" si="67"/>
        <v/>
      </c>
      <c r="U71" s="16" t="str">
        <f t="shared" si="55"/>
        <v/>
      </c>
      <c r="V71" s="17" t="str">
        <f t="shared" si="56"/>
        <v/>
      </c>
      <c r="W71" s="18">
        <f t="shared" si="68"/>
        <v>0</v>
      </c>
      <c r="X71" s="18">
        <f t="shared" si="69"/>
        <v>0</v>
      </c>
      <c r="Y71" s="18" t="str">
        <f t="shared" si="70"/>
        <v/>
      </c>
      <c r="Z71" s="19">
        <f>IF(W71=1,MAX(0,MIN(Settings!$B$6,(IFERROR(VLOOKUP(U70,'Bucket Status'!$A$4:$B$75,2,FALSE()),0)-(SUMIF($U$5:$U70,U70,$AK$5:$AK70)+SUMIF($V$5:$V70,U70,$AL$5:$AL70)+SUMIF($Y$5:$Y70,U70,$AA$5:$AA70)+SUMIF($AC$5:$AC70,U70,$AE$5:$AE70))))),IF(AB70&gt;0,AB70,0))</f>
        <v>0</v>
      </c>
      <c r="AA71" s="19">
        <f t="shared" si="57"/>
        <v>0</v>
      </c>
      <c r="AB71" s="19">
        <f t="shared" si="58"/>
        <v>0</v>
      </c>
      <c r="AC71" s="18" t="str">
        <f t="shared" si="71"/>
        <v/>
      </c>
      <c r="AD71" s="19">
        <f>IF(X71=1,MAX(0,MIN(Settings!$B$6-Z71,(IFERROR(VLOOKUP(V70,'Bucket Status'!$A$4:$B$75,2,FALSE()),0)-(SUMIF($U$5:$U70,V70,$AK$5:$AK70)+SUMIF($V$5:$V70,V70,$AL$5:$AL70)+SUMIF($Y$5:$Y70,V70,$AA$5:$AA70)+SUMIF($AC$5:$AC70,V70,$AE$5:$AE70))))),IF(AF70&gt;0,AF70,0))</f>
        <v>0</v>
      </c>
      <c r="AE71" s="19">
        <f t="shared" si="59"/>
        <v>0</v>
      </c>
      <c r="AF71" s="19">
        <f t="shared" si="60"/>
        <v>0</v>
      </c>
      <c r="AG71" s="20">
        <f>IFERROR(IF(C71="Y",Settings!$B$4+Settings!$B$5,0),0)</f>
        <v>0</v>
      </c>
      <c r="AH71" s="21" t="str">
        <f>IFERROR(IF(U71="","",IFERROR(VLOOKUP(U71,'Bucket Status'!$A$4:$B$75,2,FALSE()),0)-(SUMIF($U$5:$U70,U71,$AK$5:$AK70)+SUMIF($V$5:$V70,U71,$AL$5:$AL70)+SUMIF($Y$5:$Y70,U71,$AA$5:$AA70)+SUMIF($AC$5:$AC70,U71,$AE$5:$AE70))),"")</f>
        <v/>
      </c>
      <c r="AI71" s="22" t="str">
        <f>IFERROR(IF(V71="","",IFERROR(VLOOKUP(V71,'Bucket Status'!$A$4:$B$75,2,FALSE()),0)-(SUMIF($U$5:$U70,V71,$AK$5:$AK70)+SUMIF($V$5:$V70,V71,$AL$5:$AL70)+SUMIF($Y$5:$Y70,V71,$AA$5:$AA70)+SUMIF($AC$5:$AC70,V71,$AE$5:$AE70))),"")</f>
        <v/>
      </c>
      <c r="AJ71" s="23" t="str">
        <f t="shared" si="61"/>
        <v/>
      </c>
      <c r="AK71" s="21" t="str">
        <f t="shared" si="62"/>
        <v/>
      </c>
      <c r="AL71" s="22" t="str">
        <f t="shared" si="63"/>
        <v/>
      </c>
    </row>
    <row r="72" spans="1:38" ht="18" customHeight="1" x14ac:dyDescent="0.3">
      <c r="A72" s="3"/>
      <c r="B72" s="50"/>
      <c r="C72" s="4"/>
      <c r="D72" s="5"/>
      <c r="E72" s="5"/>
      <c r="F72" s="6"/>
      <c r="G72" s="6"/>
      <c r="H72" s="7"/>
      <c r="I72" s="8" t="str">
        <f t="shared" si="48"/>
        <v/>
      </c>
      <c r="J72" s="9" t="str">
        <f t="shared" si="49"/>
        <v/>
      </c>
      <c r="K72" s="10" t="str">
        <f t="shared" si="50"/>
        <v/>
      </c>
      <c r="L72" s="11" t="str">
        <f t="shared" si="51"/>
        <v/>
      </c>
      <c r="M72" s="12" t="str">
        <f t="shared" si="52"/>
        <v/>
      </c>
      <c r="N72" s="13" t="str">
        <f t="shared" si="53"/>
        <v/>
      </c>
      <c r="O72" s="14" t="str">
        <f t="shared" si="54"/>
        <v/>
      </c>
      <c r="P72" s="15"/>
      <c r="Q72" s="16" t="str">
        <f t="shared" si="64"/>
        <v/>
      </c>
      <c r="R72" s="16" t="str">
        <f t="shared" si="65"/>
        <v/>
      </c>
      <c r="S72" s="17" t="str">
        <f t="shared" si="66"/>
        <v/>
      </c>
      <c r="T72" s="17" t="str">
        <f t="shared" si="67"/>
        <v/>
      </c>
      <c r="U72" s="16" t="str">
        <f t="shared" si="55"/>
        <v/>
      </c>
      <c r="V72" s="17" t="str">
        <f t="shared" si="56"/>
        <v/>
      </c>
      <c r="W72" s="18">
        <f t="shared" si="68"/>
        <v>0</v>
      </c>
      <c r="X72" s="18">
        <f t="shared" si="69"/>
        <v>0</v>
      </c>
      <c r="Y72" s="18" t="str">
        <f t="shared" si="70"/>
        <v/>
      </c>
      <c r="Z72" s="19">
        <f>IF(W72=1,MAX(0,MIN(Settings!$B$6,(IFERROR(VLOOKUP(U71,'Bucket Status'!$A$4:$B$75,2,FALSE()),0)-(SUMIF($U$5:$U71,U71,$AK$5:$AK71)+SUMIF($V$5:$V71,U71,$AL$5:$AL71)+SUMIF($Y$5:$Y71,U71,$AA$5:$AA71)+SUMIF($AC$5:$AC71,U71,$AE$5:$AE71))))),IF(AB71&gt;0,AB71,0))</f>
        <v>0</v>
      </c>
      <c r="AA72" s="19">
        <f t="shared" si="57"/>
        <v>0</v>
      </c>
      <c r="AB72" s="19">
        <f t="shared" si="58"/>
        <v>0</v>
      </c>
      <c r="AC72" s="18" t="str">
        <f t="shared" si="71"/>
        <v/>
      </c>
      <c r="AD72" s="19">
        <f>IF(X72=1,MAX(0,MIN(Settings!$B$6-Z72,(IFERROR(VLOOKUP(V71,'Bucket Status'!$A$4:$B$75,2,FALSE()),0)-(SUMIF($U$5:$U71,V71,$AK$5:$AK71)+SUMIF($V$5:$V71,V71,$AL$5:$AL71)+SUMIF($Y$5:$Y71,V71,$AA$5:$AA71)+SUMIF($AC$5:$AC71,V71,$AE$5:$AE71))))),IF(AF71&gt;0,AF71,0))</f>
        <v>0</v>
      </c>
      <c r="AE72" s="19">
        <f t="shared" si="59"/>
        <v>0</v>
      </c>
      <c r="AF72" s="19">
        <f t="shared" si="60"/>
        <v>0</v>
      </c>
      <c r="AG72" s="20">
        <f>IFERROR(IF(C72="Y",Settings!$B$4+Settings!$B$5,0),0)</f>
        <v>0</v>
      </c>
      <c r="AH72" s="21" t="str">
        <f>IFERROR(IF(U72="","",IFERROR(VLOOKUP(U72,'Bucket Status'!$A$4:$B$75,2,FALSE()),0)-(SUMIF($U$5:$U71,U72,$AK$5:$AK71)+SUMIF($V$5:$V71,U72,$AL$5:$AL71)+SUMIF($Y$5:$Y71,U72,$AA$5:$AA71)+SUMIF($AC$5:$AC71,U72,$AE$5:$AE71))),"")</f>
        <v/>
      </c>
      <c r="AI72" s="22" t="str">
        <f>IFERROR(IF(V72="","",IFERROR(VLOOKUP(V72,'Bucket Status'!$A$4:$B$75,2,FALSE()),0)-(SUMIF($U$5:$U71,V72,$AK$5:$AK71)+SUMIF($V$5:$V71,V72,$AL$5:$AL71)+SUMIF($Y$5:$Y71,V72,$AA$5:$AA71)+SUMIF($AC$5:$AC71,V72,$AE$5:$AE71))),"")</f>
        <v/>
      </c>
      <c r="AJ72" s="23" t="str">
        <f t="shared" si="61"/>
        <v/>
      </c>
      <c r="AK72" s="21" t="str">
        <f t="shared" si="62"/>
        <v/>
      </c>
      <c r="AL72" s="22" t="str">
        <f t="shared" si="63"/>
        <v/>
      </c>
    </row>
    <row r="73" spans="1:38" ht="18" customHeight="1" x14ac:dyDescent="0.3">
      <c r="A73" s="3"/>
      <c r="B73" s="50"/>
      <c r="C73" s="4"/>
      <c r="D73" s="5"/>
      <c r="E73" s="5"/>
      <c r="F73" s="6"/>
      <c r="G73" s="6"/>
      <c r="H73" s="7"/>
      <c r="I73" s="8" t="str">
        <f t="shared" si="48"/>
        <v/>
      </c>
      <c r="J73" s="9" t="str">
        <f t="shared" si="49"/>
        <v/>
      </c>
      <c r="K73" s="10" t="str">
        <f t="shared" si="50"/>
        <v/>
      </c>
      <c r="L73" s="11" t="str">
        <f t="shared" si="51"/>
        <v/>
      </c>
      <c r="M73" s="12" t="str">
        <f t="shared" si="52"/>
        <v/>
      </c>
      <c r="N73" s="13" t="str">
        <f t="shared" si="53"/>
        <v/>
      </c>
      <c r="O73" s="14" t="str">
        <f t="shared" si="54"/>
        <v/>
      </c>
      <c r="P73" s="15"/>
      <c r="Q73" s="16" t="str">
        <f t="shared" si="64"/>
        <v/>
      </c>
      <c r="R73" s="16" t="str">
        <f t="shared" si="65"/>
        <v/>
      </c>
      <c r="S73" s="17" t="str">
        <f t="shared" si="66"/>
        <v/>
      </c>
      <c r="T73" s="17" t="str">
        <f t="shared" si="67"/>
        <v/>
      </c>
      <c r="U73" s="16" t="str">
        <f t="shared" si="55"/>
        <v/>
      </c>
      <c r="V73" s="17" t="str">
        <f t="shared" si="56"/>
        <v/>
      </c>
      <c r="W73" s="18">
        <f t="shared" si="68"/>
        <v>0</v>
      </c>
      <c r="X73" s="18">
        <f t="shared" si="69"/>
        <v>0</v>
      </c>
      <c r="Y73" s="18" t="str">
        <f t="shared" si="70"/>
        <v/>
      </c>
      <c r="Z73" s="19">
        <f>IF(W73=1,MAX(0,MIN(Settings!$B$6,(IFERROR(VLOOKUP(U72,'Bucket Status'!$A$4:$B$75,2,FALSE()),0)-(SUMIF($U$5:$U72,U72,$AK$5:$AK72)+SUMIF($V$5:$V72,U72,$AL$5:$AL72)+SUMIF($Y$5:$Y72,U72,$AA$5:$AA72)+SUMIF($AC$5:$AC72,U72,$AE$5:$AE72))))),IF(AB72&gt;0,AB72,0))</f>
        <v>0</v>
      </c>
      <c r="AA73" s="19">
        <f t="shared" si="57"/>
        <v>0</v>
      </c>
      <c r="AB73" s="19">
        <f t="shared" si="58"/>
        <v>0</v>
      </c>
      <c r="AC73" s="18" t="str">
        <f t="shared" si="71"/>
        <v/>
      </c>
      <c r="AD73" s="19">
        <f>IF(X73=1,MAX(0,MIN(Settings!$B$6-Z73,(IFERROR(VLOOKUP(V72,'Bucket Status'!$A$4:$B$75,2,FALSE()),0)-(SUMIF($U$5:$U72,V72,$AK$5:$AK72)+SUMIF($V$5:$V72,V72,$AL$5:$AL72)+SUMIF($Y$5:$Y72,V72,$AA$5:$AA72)+SUMIF($AC$5:$AC72,V72,$AE$5:$AE72))))),IF(AF72&gt;0,AF72,0))</f>
        <v>0</v>
      </c>
      <c r="AE73" s="19">
        <f t="shared" si="59"/>
        <v>0</v>
      </c>
      <c r="AF73" s="19">
        <f t="shared" si="60"/>
        <v>0</v>
      </c>
      <c r="AG73" s="20">
        <f>IFERROR(IF(C73="Y",Settings!$B$4+Settings!$B$5,0),0)</f>
        <v>0</v>
      </c>
      <c r="AH73" s="21" t="str">
        <f>IFERROR(IF(U73="","",IFERROR(VLOOKUP(U73,'Bucket Status'!$A$4:$B$75,2,FALSE()),0)-(SUMIF($U$5:$U72,U73,$AK$5:$AK72)+SUMIF($V$5:$V72,U73,$AL$5:$AL72)+SUMIF($Y$5:$Y72,U73,$AA$5:$AA72)+SUMIF($AC$5:$AC72,U73,$AE$5:$AE72))),"")</f>
        <v/>
      </c>
      <c r="AI73" s="22" t="str">
        <f>IFERROR(IF(V73="","",IFERROR(VLOOKUP(V73,'Bucket Status'!$A$4:$B$75,2,FALSE()),0)-(SUMIF($U$5:$U72,V73,$AK$5:$AK72)+SUMIF($V$5:$V72,V73,$AL$5:$AL72)+SUMIF($Y$5:$Y72,V73,$AA$5:$AA72)+SUMIF($AC$5:$AC72,V73,$AE$5:$AE72))),"")</f>
        <v/>
      </c>
      <c r="AJ73" s="23" t="str">
        <f t="shared" si="61"/>
        <v/>
      </c>
      <c r="AK73" s="21" t="str">
        <f t="shared" si="62"/>
        <v/>
      </c>
      <c r="AL73" s="22" t="str">
        <f t="shared" si="63"/>
        <v/>
      </c>
    </row>
    <row r="74" spans="1:38" ht="18" customHeight="1" x14ac:dyDescent="0.3">
      <c r="A74" s="3"/>
      <c r="B74" s="50"/>
      <c r="C74" s="4"/>
      <c r="D74" s="5"/>
      <c r="E74" s="5"/>
      <c r="F74" s="6"/>
      <c r="G74" s="6"/>
      <c r="H74" s="7"/>
      <c r="I74" s="8" t="str">
        <f t="shared" si="48"/>
        <v/>
      </c>
      <c r="J74" s="9" t="str">
        <f t="shared" si="49"/>
        <v/>
      </c>
      <c r="K74" s="10" t="str">
        <f t="shared" si="50"/>
        <v/>
      </c>
      <c r="L74" s="11" t="str">
        <f t="shared" si="51"/>
        <v/>
      </c>
      <c r="M74" s="12" t="str">
        <f t="shared" si="52"/>
        <v/>
      </c>
      <c r="N74" s="13" t="str">
        <f t="shared" si="53"/>
        <v/>
      </c>
      <c r="O74" s="14" t="str">
        <f t="shared" si="54"/>
        <v/>
      </c>
      <c r="P74" s="15"/>
      <c r="Q74" s="16" t="str">
        <f t="shared" si="64"/>
        <v/>
      </c>
      <c r="R74" s="16" t="str">
        <f t="shared" si="65"/>
        <v/>
      </c>
      <c r="S74" s="17" t="str">
        <f t="shared" si="66"/>
        <v/>
      </c>
      <c r="T74" s="17" t="str">
        <f t="shared" si="67"/>
        <v/>
      </c>
      <c r="U74" s="16" t="str">
        <f t="shared" si="55"/>
        <v/>
      </c>
      <c r="V74" s="17" t="str">
        <f t="shared" si="56"/>
        <v/>
      </c>
      <c r="W74" s="18">
        <f t="shared" si="68"/>
        <v>0</v>
      </c>
      <c r="X74" s="18">
        <f t="shared" si="69"/>
        <v>0</v>
      </c>
      <c r="Y74" s="18" t="str">
        <f t="shared" si="70"/>
        <v/>
      </c>
      <c r="Z74" s="19">
        <f>IF(W74=1,MAX(0,MIN(Settings!$B$6,(IFERROR(VLOOKUP(U73,'Bucket Status'!$A$4:$B$75,2,FALSE()),0)-(SUMIF($U$5:$U73,U73,$AK$5:$AK73)+SUMIF($V$5:$V73,U73,$AL$5:$AL73)+SUMIF($Y$5:$Y73,U73,$AA$5:$AA73)+SUMIF($AC$5:$AC73,U73,$AE$5:$AE73))))),IF(AB73&gt;0,AB73,0))</f>
        <v>0</v>
      </c>
      <c r="AA74" s="19">
        <f t="shared" si="57"/>
        <v>0</v>
      </c>
      <c r="AB74" s="19">
        <f t="shared" si="58"/>
        <v>0</v>
      </c>
      <c r="AC74" s="18" t="str">
        <f t="shared" si="71"/>
        <v/>
      </c>
      <c r="AD74" s="19">
        <f>IF(X74=1,MAX(0,MIN(Settings!$B$6-Z74,(IFERROR(VLOOKUP(V73,'Bucket Status'!$A$4:$B$75,2,FALSE()),0)-(SUMIF($U$5:$U73,V73,$AK$5:$AK73)+SUMIF($V$5:$V73,V73,$AL$5:$AL73)+SUMIF($Y$5:$Y73,V73,$AA$5:$AA73)+SUMIF($AC$5:$AC73,V73,$AE$5:$AE73))))),IF(AF73&gt;0,AF73,0))</f>
        <v>0</v>
      </c>
      <c r="AE74" s="19">
        <f t="shared" si="59"/>
        <v>0</v>
      </c>
      <c r="AF74" s="19">
        <f t="shared" si="60"/>
        <v>0</v>
      </c>
      <c r="AG74" s="20">
        <f>IFERROR(IF(C74="Y",Settings!$B$4+Settings!$B$5,0),0)</f>
        <v>0</v>
      </c>
      <c r="AH74" s="21" t="str">
        <f>IFERROR(IF(U74="","",IFERROR(VLOOKUP(U74,'Bucket Status'!$A$4:$B$75,2,FALSE()),0)-(SUMIF($U$5:$U73,U74,$AK$5:$AK73)+SUMIF($V$5:$V73,U74,$AL$5:$AL73)+SUMIF($Y$5:$Y73,U74,$AA$5:$AA73)+SUMIF($AC$5:$AC73,U74,$AE$5:$AE73))),"")</f>
        <v/>
      </c>
      <c r="AI74" s="22" t="str">
        <f>IFERROR(IF(V74="","",IFERROR(VLOOKUP(V74,'Bucket Status'!$A$4:$B$75,2,FALSE()),0)-(SUMIF($U$5:$U73,V74,$AK$5:$AK73)+SUMIF($V$5:$V73,V74,$AL$5:$AL73)+SUMIF($Y$5:$Y73,V74,$AA$5:$AA73)+SUMIF($AC$5:$AC73,V74,$AE$5:$AE73))),"")</f>
        <v/>
      </c>
      <c r="AJ74" s="23" t="str">
        <f t="shared" si="61"/>
        <v/>
      </c>
      <c r="AK74" s="21" t="str">
        <f t="shared" si="62"/>
        <v/>
      </c>
      <c r="AL74" s="22" t="str">
        <f t="shared" si="63"/>
        <v/>
      </c>
    </row>
    <row r="75" spans="1:38" ht="18" customHeight="1" x14ac:dyDescent="0.3">
      <c r="A75" s="3"/>
      <c r="B75" s="50"/>
      <c r="C75" s="4"/>
      <c r="D75" s="5"/>
      <c r="E75" s="5"/>
      <c r="F75" s="6"/>
      <c r="G75" s="6"/>
      <c r="H75" s="7"/>
      <c r="I75" s="8" t="str">
        <f t="shared" si="48"/>
        <v/>
      </c>
      <c r="J75" s="9" t="str">
        <f t="shared" si="49"/>
        <v/>
      </c>
      <c r="K75" s="10" t="str">
        <f t="shared" si="50"/>
        <v/>
      </c>
      <c r="L75" s="11" t="str">
        <f t="shared" si="51"/>
        <v/>
      </c>
      <c r="M75" s="12" t="str">
        <f t="shared" si="52"/>
        <v/>
      </c>
      <c r="N75" s="13" t="str">
        <f t="shared" si="53"/>
        <v/>
      </c>
      <c r="O75" s="14" t="str">
        <f t="shared" si="54"/>
        <v/>
      </c>
      <c r="P75" s="15"/>
      <c r="Q75" s="16" t="str">
        <f t="shared" si="64"/>
        <v/>
      </c>
      <c r="R75" s="16" t="str">
        <f t="shared" si="65"/>
        <v/>
      </c>
      <c r="S75" s="17" t="str">
        <f t="shared" si="66"/>
        <v/>
      </c>
      <c r="T75" s="17" t="str">
        <f t="shared" si="67"/>
        <v/>
      </c>
      <c r="U75" s="16" t="str">
        <f t="shared" si="55"/>
        <v/>
      </c>
      <c r="V75" s="17" t="str">
        <f t="shared" si="56"/>
        <v/>
      </c>
      <c r="W75" s="18">
        <f t="shared" si="68"/>
        <v>0</v>
      </c>
      <c r="X75" s="18">
        <f t="shared" si="69"/>
        <v>0</v>
      </c>
      <c r="Y75" s="18" t="str">
        <f t="shared" si="70"/>
        <v/>
      </c>
      <c r="Z75" s="19">
        <f>IF(W75=1,MAX(0,MIN(Settings!$B$6,(IFERROR(VLOOKUP(U74,'Bucket Status'!$A$4:$B$75,2,FALSE()),0)-(SUMIF($U$5:$U74,U74,$AK$5:$AK74)+SUMIF($V$5:$V74,U74,$AL$5:$AL74)+SUMIF($Y$5:$Y74,U74,$AA$5:$AA74)+SUMIF($AC$5:$AC74,U74,$AE$5:$AE74))))),IF(AB74&gt;0,AB74,0))</f>
        <v>0</v>
      </c>
      <c r="AA75" s="19">
        <f t="shared" si="57"/>
        <v>0</v>
      </c>
      <c r="AB75" s="19">
        <f t="shared" si="58"/>
        <v>0</v>
      </c>
      <c r="AC75" s="18" t="str">
        <f t="shared" si="71"/>
        <v/>
      </c>
      <c r="AD75" s="19">
        <f>IF(X75=1,MAX(0,MIN(Settings!$B$6-Z75,(IFERROR(VLOOKUP(V74,'Bucket Status'!$A$4:$B$75,2,FALSE()),0)-(SUMIF($U$5:$U74,V74,$AK$5:$AK74)+SUMIF($V$5:$V74,V74,$AL$5:$AL74)+SUMIF($Y$5:$Y74,V74,$AA$5:$AA74)+SUMIF($AC$5:$AC74,V74,$AE$5:$AE74))))),IF(AF74&gt;0,AF74,0))</f>
        <v>0</v>
      </c>
      <c r="AE75" s="19">
        <f t="shared" si="59"/>
        <v>0</v>
      </c>
      <c r="AF75" s="19">
        <f t="shared" si="60"/>
        <v>0</v>
      </c>
      <c r="AG75" s="20">
        <f>IFERROR(IF(C75="Y",Settings!$B$4+Settings!$B$5,0),0)</f>
        <v>0</v>
      </c>
      <c r="AH75" s="21" t="str">
        <f>IFERROR(IF(U75="","",IFERROR(VLOOKUP(U75,'Bucket Status'!$A$4:$B$75,2,FALSE()),0)-(SUMIF($U$5:$U74,U75,$AK$5:$AK74)+SUMIF($V$5:$V74,U75,$AL$5:$AL74)+SUMIF($Y$5:$Y74,U75,$AA$5:$AA74)+SUMIF($AC$5:$AC74,U75,$AE$5:$AE74))),"")</f>
        <v/>
      </c>
      <c r="AI75" s="22" t="str">
        <f>IFERROR(IF(V75="","",IFERROR(VLOOKUP(V75,'Bucket Status'!$A$4:$B$75,2,FALSE()),0)-(SUMIF($U$5:$U74,V75,$AK$5:$AK74)+SUMIF($V$5:$V74,V75,$AL$5:$AL74)+SUMIF($Y$5:$Y74,V75,$AA$5:$AA74)+SUMIF($AC$5:$AC74,V75,$AE$5:$AE74))),"")</f>
        <v/>
      </c>
      <c r="AJ75" s="23" t="str">
        <f t="shared" si="61"/>
        <v/>
      </c>
      <c r="AK75" s="21" t="str">
        <f t="shared" si="62"/>
        <v/>
      </c>
      <c r="AL75" s="22" t="str">
        <f t="shared" si="63"/>
        <v/>
      </c>
    </row>
    <row r="76" spans="1:38" ht="18" customHeight="1" x14ac:dyDescent="0.3">
      <c r="A76" s="3"/>
      <c r="B76" s="50"/>
      <c r="C76" s="4"/>
      <c r="D76" s="5"/>
      <c r="E76" s="5"/>
      <c r="F76" s="6"/>
      <c r="G76" s="6"/>
      <c r="H76" s="7"/>
      <c r="I76" s="8" t="str">
        <f t="shared" si="48"/>
        <v/>
      </c>
      <c r="J76" s="9" t="str">
        <f t="shared" si="49"/>
        <v/>
      </c>
      <c r="K76" s="10" t="str">
        <f t="shared" si="50"/>
        <v/>
      </c>
      <c r="L76" s="11" t="str">
        <f t="shared" si="51"/>
        <v/>
      </c>
      <c r="M76" s="12" t="str">
        <f t="shared" si="52"/>
        <v/>
      </c>
      <c r="N76" s="13" t="str">
        <f t="shared" si="53"/>
        <v/>
      </c>
      <c r="O76" s="14" t="str">
        <f t="shared" si="54"/>
        <v/>
      </c>
      <c r="P76" s="15"/>
      <c r="Q76" s="16" t="str">
        <f t="shared" si="64"/>
        <v/>
      </c>
      <c r="R76" s="16" t="str">
        <f t="shared" si="65"/>
        <v/>
      </c>
      <c r="S76" s="17" t="str">
        <f t="shared" si="66"/>
        <v/>
      </c>
      <c r="T76" s="17" t="str">
        <f t="shared" si="67"/>
        <v/>
      </c>
      <c r="U76" s="16" t="str">
        <f t="shared" si="55"/>
        <v/>
      </c>
      <c r="V76" s="17" t="str">
        <f t="shared" si="56"/>
        <v/>
      </c>
      <c r="W76" s="18">
        <f t="shared" si="68"/>
        <v>0</v>
      </c>
      <c r="X76" s="18">
        <f t="shared" si="69"/>
        <v>0</v>
      </c>
      <c r="Y76" s="18" t="str">
        <f t="shared" si="70"/>
        <v/>
      </c>
      <c r="Z76" s="19">
        <f>IF(W76=1,MAX(0,MIN(Settings!$B$6,(IFERROR(VLOOKUP(U75,'Bucket Status'!$A$4:$B$75,2,FALSE()),0)-(SUMIF($U$5:$U75,U75,$AK$5:$AK75)+SUMIF($V$5:$V75,U75,$AL$5:$AL75)+SUMIF($Y$5:$Y75,U75,$AA$5:$AA75)+SUMIF($AC$5:$AC75,U75,$AE$5:$AE75))))),IF(AB75&gt;0,AB75,0))</f>
        <v>0</v>
      </c>
      <c r="AA76" s="19">
        <f t="shared" si="57"/>
        <v>0</v>
      </c>
      <c r="AB76" s="19">
        <f t="shared" si="58"/>
        <v>0</v>
      </c>
      <c r="AC76" s="18" t="str">
        <f t="shared" si="71"/>
        <v/>
      </c>
      <c r="AD76" s="19">
        <f>IF(X76=1,MAX(0,MIN(Settings!$B$6-Z76,(IFERROR(VLOOKUP(V75,'Bucket Status'!$A$4:$B$75,2,FALSE()),0)-(SUMIF($U$5:$U75,V75,$AK$5:$AK75)+SUMIF($V$5:$V75,V75,$AL$5:$AL75)+SUMIF($Y$5:$Y75,V75,$AA$5:$AA75)+SUMIF($AC$5:$AC75,V75,$AE$5:$AE75))))),IF(AF75&gt;0,AF75,0))</f>
        <v>0</v>
      </c>
      <c r="AE76" s="19">
        <f t="shared" si="59"/>
        <v>0</v>
      </c>
      <c r="AF76" s="19">
        <f t="shared" si="60"/>
        <v>0</v>
      </c>
      <c r="AG76" s="20">
        <f>IFERROR(IF(C76="Y",Settings!$B$4+Settings!$B$5,0),0)</f>
        <v>0</v>
      </c>
      <c r="AH76" s="21" t="str">
        <f>IFERROR(IF(U76="","",IFERROR(VLOOKUP(U76,'Bucket Status'!$A$4:$B$75,2,FALSE()),0)-(SUMIF($U$5:$U75,U76,$AK$5:$AK75)+SUMIF($V$5:$V75,U76,$AL$5:$AL75)+SUMIF($Y$5:$Y75,U76,$AA$5:$AA75)+SUMIF($AC$5:$AC75,U76,$AE$5:$AE75))),"")</f>
        <v/>
      </c>
      <c r="AI76" s="22" t="str">
        <f>IFERROR(IF(V76="","",IFERROR(VLOOKUP(V76,'Bucket Status'!$A$4:$B$75,2,FALSE()),0)-(SUMIF($U$5:$U75,V76,$AK$5:$AK75)+SUMIF($V$5:$V75,V76,$AL$5:$AL75)+SUMIF($Y$5:$Y75,V76,$AA$5:$AA75)+SUMIF($AC$5:$AC75,V76,$AE$5:$AE75))),"")</f>
        <v/>
      </c>
      <c r="AJ76" s="23" t="str">
        <f t="shared" si="61"/>
        <v/>
      </c>
      <c r="AK76" s="21" t="str">
        <f t="shared" si="62"/>
        <v/>
      </c>
      <c r="AL76" s="22" t="str">
        <f t="shared" si="63"/>
        <v/>
      </c>
    </row>
    <row r="77" spans="1:38" ht="18" customHeight="1" x14ac:dyDescent="0.3">
      <c r="A77" s="3"/>
      <c r="B77" s="50"/>
      <c r="C77" s="4"/>
      <c r="D77" s="5"/>
      <c r="E77" s="5"/>
      <c r="F77" s="6"/>
      <c r="G77" s="6"/>
      <c r="H77" s="7"/>
      <c r="I77" s="8" t="str">
        <f t="shared" si="48"/>
        <v/>
      </c>
      <c r="J77" s="9" t="str">
        <f t="shared" si="49"/>
        <v/>
      </c>
      <c r="K77" s="10" t="str">
        <f t="shared" si="50"/>
        <v/>
      </c>
      <c r="L77" s="11" t="str">
        <f t="shared" si="51"/>
        <v/>
      </c>
      <c r="M77" s="12" t="str">
        <f t="shared" si="52"/>
        <v/>
      </c>
      <c r="N77" s="13" t="str">
        <f t="shared" si="53"/>
        <v/>
      </c>
      <c r="O77" s="14" t="str">
        <f t="shared" si="54"/>
        <v/>
      </c>
      <c r="P77" s="15"/>
      <c r="Q77" s="16" t="str">
        <f t="shared" si="64"/>
        <v/>
      </c>
      <c r="R77" s="16" t="str">
        <f t="shared" si="65"/>
        <v/>
      </c>
      <c r="S77" s="17" t="str">
        <f t="shared" si="66"/>
        <v/>
      </c>
      <c r="T77" s="17" t="str">
        <f t="shared" si="67"/>
        <v/>
      </c>
      <c r="U77" s="16" t="str">
        <f t="shared" si="55"/>
        <v/>
      </c>
      <c r="V77" s="17" t="str">
        <f t="shared" si="56"/>
        <v/>
      </c>
      <c r="W77" s="18">
        <f t="shared" si="68"/>
        <v>0</v>
      </c>
      <c r="X77" s="18">
        <f t="shared" si="69"/>
        <v>0</v>
      </c>
      <c r="Y77" s="18" t="str">
        <f t="shared" si="70"/>
        <v/>
      </c>
      <c r="Z77" s="19">
        <f>IF(W77=1,MAX(0,MIN(Settings!$B$6,(IFERROR(VLOOKUP(U76,'Bucket Status'!$A$4:$B$75,2,FALSE()),0)-(SUMIF($U$5:$U76,U76,$AK$5:$AK76)+SUMIF($V$5:$V76,U76,$AL$5:$AL76)+SUMIF($Y$5:$Y76,U76,$AA$5:$AA76)+SUMIF($AC$5:$AC76,U76,$AE$5:$AE76))))),IF(AB76&gt;0,AB76,0))</f>
        <v>0</v>
      </c>
      <c r="AA77" s="19">
        <f t="shared" si="57"/>
        <v>0</v>
      </c>
      <c r="AB77" s="19">
        <f t="shared" si="58"/>
        <v>0</v>
      </c>
      <c r="AC77" s="18" t="str">
        <f t="shared" si="71"/>
        <v/>
      </c>
      <c r="AD77" s="19">
        <f>IF(X77=1,MAX(0,MIN(Settings!$B$6-Z77,(IFERROR(VLOOKUP(V76,'Bucket Status'!$A$4:$B$75,2,FALSE()),0)-(SUMIF($U$5:$U76,V76,$AK$5:$AK76)+SUMIF($V$5:$V76,V76,$AL$5:$AL76)+SUMIF($Y$5:$Y76,V76,$AA$5:$AA76)+SUMIF($AC$5:$AC76,V76,$AE$5:$AE76))))),IF(AF76&gt;0,AF76,0))</f>
        <v>0</v>
      </c>
      <c r="AE77" s="19">
        <f t="shared" si="59"/>
        <v>0</v>
      </c>
      <c r="AF77" s="19">
        <f t="shared" si="60"/>
        <v>0</v>
      </c>
      <c r="AG77" s="20">
        <f>IFERROR(IF(C77="Y",Settings!$B$4+Settings!$B$5,0),0)</f>
        <v>0</v>
      </c>
      <c r="AH77" s="21" t="str">
        <f>IFERROR(IF(U77="","",IFERROR(VLOOKUP(U77,'Bucket Status'!$A$4:$B$75,2,FALSE()),0)-(SUMIF($U$5:$U76,U77,$AK$5:$AK76)+SUMIF($V$5:$V76,U77,$AL$5:$AL76)+SUMIF($Y$5:$Y76,U77,$AA$5:$AA76)+SUMIF($AC$5:$AC76,U77,$AE$5:$AE76))),"")</f>
        <v/>
      </c>
      <c r="AI77" s="22" t="str">
        <f>IFERROR(IF(V77="","",IFERROR(VLOOKUP(V77,'Bucket Status'!$A$4:$B$75,2,FALSE()),0)-(SUMIF($U$5:$U76,V77,$AK$5:$AK76)+SUMIF($V$5:$V76,V77,$AL$5:$AL76)+SUMIF($Y$5:$Y76,V77,$AA$5:$AA76)+SUMIF($AC$5:$AC76,V77,$AE$5:$AE76))),"")</f>
        <v/>
      </c>
      <c r="AJ77" s="23" t="str">
        <f t="shared" si="61"/>
        <v/>
      </c>
      <c r="AK77" s="21" t="str">
        <f t="shared" si="62"/>
        <v/>
      </c>
      <c r="AL77" s="22" t="str">
        <f t="shared" si="63"/>
        <v/>
      </c>
    </row>
    <row r="78" spans="1:38" ht="18" customHeight="1" x14ac:dyDescent="0.3">
      <c r="A78" s="3"/>
      <c r="B78" s="50"/>
      <c r="C78" s="4"/>
      <c r="D78" s="5"/>
      <c r="E78" s="5"/>
      <c r="F78" s="6"/>
      <c r="G78" s="6"/>
      <c r="H78" s="7"/>
      <c r="I78" s="8" t="str">
        <f t="shared" si="48"/>
        <v/>
      </c>
      <c r="J78" s="9" t="str">
        <f t="shared" si="49"/>
        <v/>
      </c>
      <c r="K78" s="10" t="str">
        <f t="shared" si="50"/>
        <v/>
      </c>
      <c r="L78" s="11" t="str">
        <f t="shared" si="51"/>
        <v/>
      </c>
      <c r="M78" s="12" t="str">
        <f t="shared" si="52"/>
        <v/>
      </c>
      <c r="N78" s="13" t="str">
        <f t="shared" si="53"/>
        <v/>
      </c>
      <c r="O78" s="14" t="str">
        <f t="shared" si="54"/>
        <v/>
      </c>
      <c r="P78" s="15"/>
      <c r="Q78" s="16" t="str">
        <f t="shared" si="64"/>
        <v/>
      </c>
      <c r="R78" s="16" t="str">
        <f t="shared" si="65"/>
        <v/>
      </c>
      <c r="S78" s="17" t="str">
        <f t="shared" si="66"/>
        <v/>
      </c>
      <c r="T78" s="17" t="str">
        <f t="shared" si="67"/>
        <v/>
      </c>
      <c r="U78" s="16" t="str">
        <f t="shared" si="55"/>
        <v/>
      </c>
      <c r="V78" s="17" t="str">
        <f t="shared" si="56"/>
        <v/>
      </c>
      <c r="W78" s="18">
        <f t="shared" si="68"/>
        <v>0</v>
      </c>
      <c r="X78" s="18">
        <f t="shared" si="69"/>
        <v>0</v>
      </c>
      <c r="Y78" s="18" t="str">
        <f t="shared" si="70"/>
        <v/>
      </c>
      <c r="Z78" s="19">
        <f>IF(W78=1,MAX(0,MIN(Settings!$B$6,(IFERROR(VLOOKUP(U77,'Bucket Status'!$A$4:$B$75,2,FALSE()),0)-(SUMIF($U$5:$U77,U77,$AK$5:$AK77)+SUMIF($V$5:$V77,U77,$AL$5:$AL77)+SUMIF($Y$5:$Y77,U77,$AA$5:$AA77)+SUMIF($AC$5:$AC77,U77,$AE$5:$AE77))))),IF(AB77&gt;0,AB77,0))</f>
        <v>0</v>
      </c>
      <c r="AA78" s="19">
        <f t="shared" si="57"/>
        <v>0</v>
      </c>
      <c r="AB78" s="19">
        <f t="shared" si="58"/>
        <v>0</v>
      </c>
      <c r="AC78" s="18" t="str">
        <f t="shared" si="71"/>
        <v/>
      </c>
      <c r="AD78" s="19">
        <f>IF(X78=1,MAX(0,MIN(Settings!$B$6-Z78,(IFERROR(VLOOKUP(V77,'Bucket Status'!$A$4:$B$75,2,FALSE()),0)-(SUMIF($U$5:$U77,V77,$AK$5:$AK77)+SUMIF($V$5:$V77,V77,$AL$5:$AL77)+SUMIF($Y$5:$Y77,V77,$AA$5:$AA77)+SUMIF($AC$5:$AC77,V77,$AE$5:$AE77))))),IF(AF77&gt;0,AF77,0))</f>
        <v>0</v>
      </c>
      <c r="AE78" s="19">
        <f t="shared" si="59"/>
        <v>0</v>
      </c>
      <c r="AF78" s="19">
        <f t="shared" si="60"/>
        <v>0</v>
      </c>
      <c r="AG78" s="20">
        <f>IFERROR(IF(C78="Y",Settings!$B$4+Settings!$B$5,0),0)</f>
        <v>0</v>
      </c>
      <c r="AH78" s="21" t="str">
        <f>IFERROR(IF(U78="","",IFERROR(VLOOKUP(U78,'Bucket Status'!$A$4:$B$75,2,FALSE()),0)-(SUMIF($U$5:$U77,U78,$AK$5:$AK77)+SUMIF($V$5:$V77,U78,$AL$5:$AL77)+SUMIF($Y$5:$Y77,U78,$AA$5:$AA77)+SUMIF($AC$5:$AC77,U78,$AE$5:$AE77))),"")</f>
        <v/>
      </c>
      <c r="AI78" s="22" t="str">
        <f>IFERROR(IF(V78="","",IFERROR(VLOOKUP(V78,'Bucket Status'!$A$4:$B$75,2,FALSE()),0)-(SUMIF($U$5:$U77,V78,$AK$5:$AK77)+SUMIF($V$5:$V77,V78,$AL$5:$AL77)+SUMIF($Y$5:$Y77,V78,$AA$5:$AA77)+SUMIF($AC$5:$AC77,V78,$AE$5:$AE77))),"")</f>
        <v/>
      </c>
      <c r="AJ78" s="23" t="str">
        <f t="shared" si="61"/>
        <v/>
      </c>
      <c r="AK78" s="21" t="str">
        <f t="shared" si="62"/>
        <v/>
      </c>
      <c r="AL78" s="22" t="str">
        <f t="shared" si="63"/>
        <v/>
      </c>
    </row>
    <row r="79" spans="1:38" ht="18" customHeight="1" x14ac:dyDescent="0.3">
      <c r="A79" s="3"/>
      <c r="B79" s="50"/>
      <c r="C79" s="4"/>
      <c r="D79" s="5"/>
      <c r="E79" s="5"/>
      <c r="F79" s="6"/>
      <c r="G79" s="6"/>
      <c r="H79" s="7"/>
      <c r="I79" s="8" t="str">
        <f t="shared" si="48"/>
        <v/>
      </c>
      <c r="J79" s="9" t="str">
        <f t="shared" si="49"/>
        <v/>
      </c>
      <c r="K79" s="10" t="str">
        <f t="shared" si="50"/>
        <v/>
      </c>
      <c r="L79" s="11" t="str">
        <f t="shared" si="51"/>
        <v/>
      </c>
      <c r="M79" s="12" t="str">
        <f t="shared" si="52"/>
        <v/>
      </c>
      <c r="N79" s="13" t="str">
        <f t="shared" si="53"/>
        <v/>
      </c>
      <c r="O79" s="14" t="str">
        <f t="shared" si="54"/>
        <v/>
      </c>
      <c r="P79" s="15"/>
      <c r="Q79" s="16" t="str">
        <f t="shared" si="64"/>
        <v/>
      </c>
      <c r="R79" s="16" t="str">
        <f t="shared" si="65"/>
        <v/>
      </c>
      <c r="S79" s="17" t="str">
        <f t="shared" si="66"/>
        <v/>
      </c>
      <c r="T79" s="17" t="str">
        <f t="shared" si="67"/>
        <v/>
      </c>
      <c r="U79" s="16" t="str">
        <f t="shared" si="55"/>
        <v/>
      </c>
      <c r="V79" s="17" t="str">
        <f t="shared" si="56"/>
        <v/>
      </c>
      <c r="W79" s="18">
        <f t="shared" si="68"/>
        <v>0</v>
      </c>
      <c r="X79" s="18">
        <f t="shared" si="69"/>
        <v>0</v>
      </c>
      <c r="Y79" s="18" t="str">
        <f t="shared" si="70"/>
        <v/>
      </c>
      <c r="Z79" s="19">
        <f>IF(W79=1,MAX(0,MIN(Settings!$B$6,(IFERROR(VLOOKUP(U78,'Bucket Status'!$A$4:$B$75,2,FALSE()),0)-(SUMIF($U$5:$U78,U78,$AK$5:$AK78)+SUMIF($V$5:$V78,U78,$AL$5:$AL78)+SUMIF($Y$5:$Y78,U78,$AA$5:$AA78)+SUMIF($AC$5:$AC78,U78,$AE$5:$AE78))))),IF(AB78&gt;0,AB78,0))</f>
        <v>0</v>
      </c>
      <c r="AA79" s="19">
        <f t="shared" si="57"/>
        <v>0</v>
      </c>
      <c r="AB79" s="19">
        <f t="shared" si="58"/>
        <v>0</v>
      </c>
      <c r="AC79" s="18" t="str">
        <f t="shared" si="71"/>
        <v/>
      </c>
      <c r="AD79" s="19">
        <f>IF(X79=1,MAX(0,MIN(Settings!$B$6-Z79,(IFERROR(VLOOKUP(V78,'Bucket Status'!$A$4:$B$75,2,FALSE()),0)-(SUMIF($U$5:$U78,V78,$AK$5:$AK78)+SUMIF($V$5:$V78,V78,$AL$5:$AL78)+SUMIF($Y$5:$Y78,V78,$AA$5:$AA78)+SUMIF($AC$5:$AC78,V78,$AE$5:$AE78))))),IF(AF78&gt;0,AF78,0))</f>
        <v>0</v>
      </c>
      <c r="AE79" s="19">
        <f t="shared" si="59"/>
        <v>0</v>
      </c>
      <c r="AF79" s="19">
        <f t="shared" si="60"/>
        <v>0</v>
      </c>
      <c r="AG79" s="20">
        <f>IFERROR(IF(C79="Y",Settings!$B$4+Settings!$B$5,0),0)</f>
        <v>0</v>
      </c>
      <c r="AH79" s="21" t="str">
        <f>IFERROR(IF(U79="","",IFERROR(VLOOKUP(U79,'Bucket Status'!$A$4:$B$75,2,FALSE()),0)-(SUMIF($U$5:$U78,U79,$AK$5:$AK78)+SUMIF($V$5:$V78,U79,$AL$5:$AL78)+SUMIF($Y$5:$Y78,U79,$AA$5:$AA78)+SUMIF($AC$5:$AC78,U79,$AE$5:$AE78))),"")</f>
        <v/>
      </c>
      <c r="AI79" s="22" t="str">
        <f>IFERROR(IF(V79="","",IFERROR(VLOOKUP(V79,'Bucket Status'!$A$4:$B$75,2,FALSE()),0)-(SUMIF($U$5:$U78,V79,$AK$5:$AK78)+SUMIF($V$5:$V78,V79,$AL$5:$AL78)+SUMIF($Y$5:$Y78,V79,$AA$5:$AA78)+SUMIF($AC$5:$AC78,V79,$AE$5:$AE78))),"")</f>
        <v/>
      </c>
      <c r="AJ79" s="23" t="str">
        <f t="shared" si="61"/>
        <v/>
      </c>
      <c r="AK79" s="21" t="str">
        <f t="shared" si="62"/>
        <v/>
      </c>
      <c r="AL79" s="22" t="str">
        <f t="shared" si="63"/>
        <v/>
      </c>
    </row>
    <row r="80" spans="1:38" ht="18" customHeight="1" x14ac:dyDescent="0.3">
      <c r="A80" s="3"/>
      <c r="B80" s="50"/>
      <c r="C80" s="4"/>
      <c r="D80" s="5"/>
      <c r="E80" s="5"/>
      <c r="F80" s="6"/>
      <c r="G80" s="6"/>
      <c r="H80" s="7"/>
      <c r="I80" s="8" t="str">
        <f t="shared" si="48"/>
        <v/>
      </c>
      <c r="J80" s="9" t="str">
        <f t="shared" si="49"/>
        <v/>
      </c>
      <c r="K80" s="10" t="str">
        <f t="shared" si="50"/>
        <v/>
      </c>
      <c r="L80" s="11" t="str">
        <f t="shared" si="51"/>
        <v/>
      </c>
      <c r="M80" s="12" t="str">
        <f t="shared" si="52"/>
        <v/>
      </c>
      <c r="N80" s="13" t="str">
        <f t="shared" si="53"/>
        <v/>
      </c>
      <c r="O80" s="14" t="str">
        <f t="shared" si="54"/>
        <v/>
      </c>
      <c r="P80" s="15"/>
      <c r="Q80" s="16" t="str">
        <f t="shared" si="64"/>
        <v/>
      </c>
      <c r="R80" s="16" t="str">
        <f t="shared" si="65"/>
        <v/>
      </c>
      <c r="S80" s="17" t="str">
        <f t="shared" si="66"/>
        <v/>
      </c>
      <c r="T80" s="17" t="str">
        <f t="shared" si="67"/>
        <v/>
      </c>
      <c r="U80" s="16" t="str">
        <f t="shared" si="55"/>
        <v/>
      </c>
      <c r="V80" s="17" t="str">
        <f t="shared" si="56"/>
        <v/>
      </c>
      <c r="W80" s="18">
        <f t="shared" si="68"/>
        <v>0</v>
      </c>
      <c r="X80" s="18">
        <f t="shared" si="69"/>
        <v>0</v>
      </c>
      <c r="Y80" s="18" t="str">
        <f t="shared" si="70"/>
        <v/>
      </c>
      <c r="Z80" s="19">
        <f>IF(W80=1,MAX(0,MIN(Settings!$B$6,(IFERROR(VLOOKUP(U79,'Bucket Status'!$A$4:$B$75,2,FALSE()),0)-(SUMIF($U$5:$U79,U79,$AK$5:$AK79)+SUMIF($V$5:$V79,U79,$AL$5:$AL79)+SUMIF($Y$5:$Y79,U79,$AA$5:$AA79)+SUMIF($AC$5:$AC79,U79,$AE$5:$AE79))))),IF(AB79&gt;0,AB79,0))</f>
        <v>0</v>
      </c>
      <c r="AA80" s="19">
        <f t="shared" si="57"/>
        <v>0</v>
      </c>
      <c r="AB80" s="19">
        <f t="shared" si="58"/>
        <v>0</v>
      </c>
      <c r="AC80" s="18" t="str">
        <f t="shared" si="71"/>
        <v/>
      </c>
      <c r="AD80" s="19">
        <f>IF(X80=1,MAX(0,MIN(Settings!$B$6-Z80,(IFERROR(VLOOKUP(V79,'Bucket Status'!$A$4:$B$75,2,FALSE()),0)-(SUMIF($U$5:$U79,V79,$AK$5:$AK79)+SUMIF($V$5:$V79,V79,$AL$5:$AL79)+SUMIF($Y$5:$Y79,V79,$AA$5:$AA79)+SUMIF($AC$5:$AC79,V79,$AE$5:$AE79))))),IF(AF79&gt;0,AF79,0))</f>
        <v>0</v>
      </c>
      <c r="AE80" s="19">
        <f t="shared" si="59"/>
        <v>0</v>
      </c>
      <c r="AF80" s="19">
        <f t="shared" si="60"/>
        <v>0</v>
      </c>
      <c r="AG80" s="20">
        <f>IFERROR(IF(C80="Y",Settings!$B$4+Settings!$B$5,0),0)</f>
        <v>0</v>
      </c>
      <c r="AH80" s="21" t="str">
        <f>IFERROR(IF(U80="","",IFERROR(VLOOKUP(U80,'Bucket Status'!$A$4:$B$75,2,FALSE()),0)-(SUMIF($U$5:$U79,U80,$AK$5:$AK79)+SUMIF($V$5:$V79,U80,$AL$5:$AL79)+SUMIF($Y$5:$Y79,U80,$AA$5:$AA79)+SUMIF($AC$5:$AC79,U80,$AE$5:$AE79))),"")</f>
        <v/>
      </c>
      <c r="AI80" s="22" t="str">
        <f>IFERROR(IF(V80="","",IFERROR(VLOOKUP(V80,'Bucket Status'!$A$4:$B$75,2,FALSE()),0)-(SUMIF($U$5:$U79,V80,$AK$5:$AK79)+SUMIF($V$5:$V79,V80,$AL$5:$AL79)+SUMIF($Y$5:$Y79,V80,$AA$5:$AA79)+SUMIF($AC$5:$AC79,V80,$AE$5:$AE79))),"")</f>
        <v/>
      </c>
      <c r="AJ80" s="23" t="str">
        <f t="shared" si="61"/>
        <v/>
      </c>
      <c r="AK80" s="21" t="str">
        <f t="shared" si="62"/>
        <v/>
      </c>
      <c r="AL80" s="22" t="str">
        <f t="shared" si="63"/>
        <v/>
      </c>
    </row>
    <row r="81" spans="1:38" ht="18" customHeight="1" x14ac:dyDescent="0.3">
      <c r="A81" s="3"/>
      <c r="B81" s="50"/>
      <c r="C81" s="4"/>
      <c r="D81" s="5"/>
      <c r="E81" s="5"/>
      <c r="F81" s="6"/>
      <c r="G81" s="6"/>
      <c r="H81" s="7"/>
      <c r="I81" s="8" t="str">
        <f t="shared" si="48"/>
        <v/>
      </c>
      <c r="J81" s="9" t="str">
        <f t="shared" si="49"/>
        <v/>
      </c>
      <c r="K81" s="10" t="str">
        <f t="shared" si="50"/>
        <v/>
      </c>
      <c r="L81" s="11" t="str">
        <f t="shared" si="51"/>
        <v/>
      </c>
      <c r="M81" s="12" t="str">
        <f t="shared" si="52"/>
        <v/>
      </c>
      <c r="N81" s="13" t="str">
        <f t="shared" si="53"/>
        <v/>
      </c>
      <c r="O81" s="14" t="str">
        <f t="shared" si="54"/>
        <v/>
      </c>
      <c r="P81" s="15"/>
      <c r="Q81" s="16" t="str">
        <f t="shared" si="64"/>
        <v/>
      </c>
      <c r="R81" s="16" t="str">
        <f t="shared" si="65"/>
        <v/>
      </c>
      <c r="S81" s="17" t="str">
        <f t="shared" si="66"/>
        <v/>
      </c>
      <c r="T81" s="17" t="str">
        <f t="shared" si="67"/>
        <v/>
      </c>
      <c r="U81" s="16" t="str">
        <f t="shared" si="55"/>
        <v/>
      </c>
      <c r="V81" s="17" t="str">
        <f t="shared" si="56"/>
        <v/>
      </c>
      <c r="W81" s="18">
        <f t="shared" si="68"/>
        <v>0</v>
      </c>
      <c r="X81" s="18">
        <f t="shared" si="69"/>
        <v>0</v>
      </c>
      <c r="Y81" s="18" t="str">
        <f t="shared" si="70"/>
        <v/>
      </c>
      <c r="Z81" s="19">
        <f>IF(W81=1,MAX(0,MIN(Settings!$B$6,(IFERROR(VLOOKUP(U80,'Bucket Status'!$A$4:$B$75,2,FALSE()),0)-(SUMIF($U$5:$U80,U80,$AK$5:$AK80)+SUMIF($V$5:$V80,U80,$AL$5:$AL80)+SUMIF($Y$5:$Y80,U80,$AA$5:$AA80)+SUMIF($AC$5:$AC80,U80,$AE$5:$AE80))))),IF(AB80&gt;0,AB80,0))</f>
        <v>0</v>
      </c>
      <c r="AA81" s="19">
        <f t="shared" si="57"/>
        <v>0</v>
      </c>
      <c r="AB81" s="19">
        <f t="shared" si="58"/>
        <v>0</v>
      </c>
      <c r="AC81" s="18" t="str">
        <f t="shared" si="71"/>
        <v/>
      </c>
      <c r="AD81" s="19">
        <f>IF(X81=1,MAX(0,MIN(Settings!$B$6-Z81,(IFERROR(VLOOKUP(V80,'Bucket Status'!$A$4:$B$75,2,FALSE()),0)-(SUMIF($U$5:$U80,V80,$AK$5:$AK80)+SUMIF($V$5:$V80,V80,$AL$5:$AL80)+SUMIF($Y$5:$Y80,V80,$AA$5:$AA80)+SUMIF($AC$5:$AC80,V80,$AE$5:$AE80))))),IF(AF80&gt;0,AF80,0))</f>
        <v>0</v>
      </c>
      <c r="AE81" s="19">
        <f t="shared" si="59"/>
        <v>0</v>
      </c>
      <c r="AF81" s="19">
        <f t="shared" si="60"/>
        <v>0</v>
      </c>
      <c r="AG81" s="20">
        <f>IFERROR(IF(C81="Y",Settings!$B$4+Settings!$B$5,0),0)</f>
        <v>0</v>
      </c>
      <c r="AH81" s="21" t="str">
        <f>IFERROR(IF(U81="","",IFERROR(VLOOKUP(U81,'Bucket Status'!$A$4:$B$75,2,FALSE()),0)-(SUMIF($U$5:$U80,U81,$AK$5:$AK80)+SUMIF($V$5:$V80,U81,$AL$5:$AL80)+SUMIF($Y$5:$Y80,U81,$AA$5:$AA80)+SUMIF($AC$5:$AC80,U81,$AE$5:$AE80))),"")</f>
        <v/>
      </c>
      <c r="AI81" s="22" t="str">
        <f>IFERROR(IF(V81="","",IFERROR(VLOOKUP(V81,'Bucket Status'!$A$4:$B$75,2,FALSE()),0)-(SUMIF($U$5:$U80,V81,$AK$5:$AK80)+SUMIF($V$5:$V80,V81,$AL$5:$AL80)+SUMIF($Y$5:$Y80,V81,$AA$5:$AA80)+SUMIF($AC$5:$AC80,V81,$AE$5:$AE80))),"")</f>
        <v/>
      </c>
      <c r="AJ81" s="23" t="str">
        <f t="shared" si="61"/>
        <v/>
      </c>
      <c r="AK81" s="21" t="str">
        <f t="shared" si="62"/>
        <v/>
      </c>
      <c r="AL81" s="22" t="str">
        <f t="shared" si="63"/>
        <v/>
      </c>
    </row>
    <row r="82" spans="1:38" ht="18" customHeight="1" x14ac:dyDescent="0.3">
      <c r="A82" s="3"/>
      <c r="B82" s="50"/>
      <c r="C82" s="4"/>
      <c r="D82" s="5"/>
      <c r="E82" s="5"/>
      <c r="F82" s="6"/>
      <c r="G82" s="6"/>
      <c r="H82" s="7"/>
      <c r="I82" s="8" t="str">
        <f t="shared" si="48"/>
        <v/>
      </c>
      <c r="J82" s="9" t="str">
        <f t="shared" si="49"/>
        <v/>
      </c>
      <c r="K82" s="10" t="str">
        <f t="shared" si="50"/>
        <v/>
      </c>
      <c r="L82" s="11" t="str">
        <f t="shared" si="51"/>
        <v/>
      </c>
      <c r="M82" s="12" t="str">
        <f t="shared" si="52"/>
        <v/>
      </c>
      <c r="N82" s="13" t="str">
        <f t="shared" si="53"/>
        <v/>
      </c>
      <c r="O82" s="14" t="str">
        <f t="shared" si="54"/>
        <v/>
      </c>
      <c r="P82" s="15"/>
      <c r="Q82" s="16" t="str">
        <f t="shared" si="64"/>
        <v/>
      </c>
      <c r="R82" s="16" t="str">
        <f t="shared" si="65"/>
        <v/>
      </c>
      <c r="S82" s="17" t="str">
        <f t="shared" si="66"/>
        <v/>
      </c>
      <c r="T82" s="17" t="str">
        <f t="shared" si="67"/>
        <v/>
      </c>
      <c r="U82" s="16" t="str">
        <f t="shared" si="55"/>
        <v/>
      </c>
      <c r="V82" s="17" t="str">
        <f t="shared" si="56"/>
        <v/>
      </c>
      <c r="W82" s="18">
        <f t="shared" si="68"/>
        <v>0</v>
      </c>
      <c r="X82" s="18">
        <f t="shared" si="69"/>
        <v>0</v>
      </c>
      <c r="Y82" s="18" t="str">
        <f t="shared" si="70"/>
        <v/>
      </c>
      <c r="Z82" s="19">
        <f>IF(W82=1,MAX(0,MIN(Settings!$B$6,(IFERROR(VLOOKUP(U81,'Bucket Status'!$A$4:$B$75,2,FALSE()),0)-(SUMIF($U$5:$U81,U81,$AK$5:$AK81)+SUMIF($V$5:$V81,U81,$AL$5:$AL81)+SUMIF($Y$5:$Y81,U81,$AA$5:$AA81)+SUMIF($AC$5:$AC81,U81,$AE$5:$AE81))))),IF(AB81&gt;0,AB81,0))</f>
        <v>0</v>
      </c>
      <c r="AA82" s="19">
        <f t="shared" si="57"/>
        <v>0</v>
      </c>
      <c r="AB82" s="19">
        <f t="shared" si="58"/>
        <v>0</v>
      </c>
      <c r="AC82" s="18" t="str">
        <f t="shared" si="71"/>
        <v/>
      </c>
      <c r="AD82" s="19">
        <f>IF(X82=1,MAX(0,MIN(Settings!$B$6-Z82,(IFERROR(VLOOKUP(V81,'Bucket Status'!$A$4:$B$75,2,FALSE()),0)-(SUMIF($U$5:$U81,V81,$AK$5:$AK81)+SUMIF($V$5:$V81,V81,$AL$5:$AL81)+SUMIF($Y$5:$Y81,V81,$AA$5:$AA81)+SUMIF($AC$5:$AC81,V81,$AE$5:$AE81))))),IF(AF81&gt;0,AF81,0))</f>
        <v>0</v>
      </c>
      <c r="AE82" s="19">
        <f t="shared" si="59"/>
        <v>0</v>
      </c>
      <c r="AF82" s="19">
        <f t="shared" si="60"/>
        <v>0</v>
      </c>
      <c r="AG82" s="20">
        <f>IFERROR(IF(C82="Y",Settings!$B$4+Settings!$B$5,0),0)</f>
        <v>0</v>
      </c>
      <c r="AH82" s="21" t="str">
        <f>IFERROR(IF(U82="","",IFERROR(VLOOKUP(U82,'Bucket Status'!$A$4:$B$75,2,FALSE()),0)-(SUMIF($U$5:$U81,U82,$AK$5:$AK81)+SUMIF($V$5:$V81,U82,$AL$5:$AL81)+SUMIF($Y$5:$Y81,U82,$AA$5:$AA81)+SUMIF($AC$5:$AC81,U82,$AE$5:$AE81))),"")</f>
        <v/>
      </c>
      <c r="AI82" s="22" t="str">
        <f>IFERROR(IF(V82="","",IFERROR(VLOOKUP(V82,'Bucket Status'!$A$4:$B$75,2,FALSE()),0)-(SUMIF($U$5:$U81,V82,$AK$5:$AK81)+SUMIF($V$5:$V81,V82,$AL$5:$AL81)+SUMIF($Y$5:$Y81,V82,$AA$5:$AA81)+SUMIF($AC$5:$AC81,V82,$AE$5:$AE81))),"")</f>
        <v/>
      </c>
      <c r="AJ82" s="23" t="str">
        <f t="shared" si="61"/>
        <v/>
      </c>
      <c r="AK82" s="21" t="str">
        <f t="shared" si="62"/>
        <v/>
      </c>
      <c r="AL82" s="22" t="str">
        <f t="shared" si="63"/>
        <v/>
      </c>
    </row>
    <row r="83" spans="1:38" ht="18" customHeight="1" x14ac:dyDescent="0.3">
      <c r="A83" s="3"/>
      <c r="B83" s="50"/>
      <c r="C83" s="4"/>
      <c r="D83" s="5"/>
      <c r="E83" s="5"/>
      <c r="F83" s="6"/>
      <c r="G83" s="6"/>
      <c r="H83" s="7"/>
      <c r="I83" s="8" t="str">
        <f t="shared" si="48"/>
        <v/>
      </c>
      <c r="J83" s="9" t="str">
        <f t="shared" si="49"/>
        <v/>
      </c>
      <c r="K83" s="10" t="str">
        <f t="shared" si="50"/>
        <v/>
      </c>
      <c r="L83" s="11" t="str">
        <f t="shared" si="51"/>
        <v/>
      </c>
      <c r="M83" s="12" t="str">
        <f t="shared" si="52"/>
        <v/>
      </c>
      <c r="N83" s="13" t="str">
        <f t="shared" si="53"/>
        <v/>
      </c>
      <c r="O83" s="14" t="str">
        <f t="shared" si="54"/>
        <v/>
      </c>
      <c r="P83" s="15"/>
      <c r="Q83" s="16" t="str">
        <f t="shared" si="64"/>
        <v/>
      </c>
      <c r="R83" s="16" t="str">
        <f t="shared" si="65"/>
        <v/>
      </c>
      <c r="S83" s="17" t="str">
        <f t="shared" si="66"/>
        <v/>
      </c>
      <c r="T83" s="17" t="str">
        <f t="shared" si="67"/>
        <v/>
      </c>
      <c r="U83" s="16" t="str">
        <f t="shared" si="55"/>
        <v/>
      </c>
      <c r="V83" s="17" t="str">
        <f t="shared" si="56"/>
        <v/>
      </c>
      <c r="W83" s="18">
        <f t="shared" si="68"/>
        <v>0</v>
      </c>
      <c r="X83" s="18">
        <f t="shared" si="69"/>
        <v>0</v>
      </c>
      <c r="Y83" s="18" t="str">
        <f t="shared" si="70"/>
        <v/>
      </c>
      <c r="Z83" s="19">
        <f>IF(W83=1,MAX(0,MIN(Settings!$B$6,(IFERROR(VLOOKUP(U82,'Bucket Status'!$A$4:$B$75,2,FALSE()),0)-(SUMIF($U$5:$U82,U82,$AK$5:$AK82)+SUMIF($V$5:$V82,U82,$AL$5:$AL82)+SUMIF($Y$5:$Y82,U82,$AA$5:$AA82)+SUMIF($AC$5:$AC82,U82,$AE$5:$AE82))))),IF(AB82&gt;0,AB82,0))</f>
        <v>0</v>
      </c>
      <c r="AA83" s="19">
        <f t="shared" si="57"/>
        <v>0</v>
      </c>
      <c r="AB83" s="19">
        <f t="shared" si="58"/>
        <v>0</v>
      </c>
      <c r="AC83" s="18" t="str">
        <f t="shared" si="71"/>
        <v/>
      </c>
      <c r="AD83" s="19">
        <f>IF(X83=1,MAX(0,MIN(Settings!$B$6-Z83,(IFERROR(VLOOKUP(V82,'Bucket Status'!$A$4:$B$75,2,FALSE()),0)-(SUMIF($U$5:$U82,V82,$AK$5:$AK82)+SUMIF($V$5:$V82,V82,$AL$5:$AL82)+SUMIF($Y$5:$Y82,V82,$AA$5:$AA82)+SUMIF($AC$5:$AC82,V82,$AE$5:$AE82))))),IF(AF82&gt;0,AF82,0))</f>
        <v>0</v>
      </c>
      <c r="AE83" s="19">
        <f t="shared" si="59"/>
        <v>0</v>
      </c>
      <c r="AF83" s="19">
        <f t="shared" si="60"/>
        <v>0</v>
      </c>
      <c r="AG83" s="20">
        <f>IFERROR(IF(C83="Y",Settings!$B$4+Settings!$B$5,0),0)</f>
        <v>0</v>
      </c>
      <c r="AH83" s="21" t="str">
        <f>IFERROR(IF(U83="","",IFERROR(VLOOKUP(U83,'Bucket Status'!$A$4:$B$75,2,FALSE()),0)-(SUMIF($U$5:$U82,U83,$AK$5:$AK82)+SUMIF($V$5:$V82,U83,$AL$5:$AL82)+SUMIF($Y$5:$Y82,U83,$AA$5:$AA82)+SUMIF($AC$5:$AC82,U83,$AE$5:$AE82))),"")</f>
        <v/>
      </c>
      <c r="AI83" s="22" t="str">
        <f>IFERROR(IF(V83="","",IFERROR(VLOOKUP(V83,'Bucket Status'!$A$4:$B$75,2,FALSE()),0)-(SUMIF($U$5:$U82,V83,$AK$5:$AK82)+SUMIF($V$5:$V82,V83,$AL$5:$AL82)+SUMIF($Y$5:$Y82,V83,$AA$5:$AA82)+SUMIF($AC$5:$AC82,V83,$AE$5:$AE82))),"")</f>
        <v/>
      </c>
      <c r="AJ83" s="23" t="str">
        <f t="shared" si="61"/>
        <v/>
      </c>
      <c r="AK83" s="21" t="str">
        <f t="shared" si="62"/>
        <v/>
      </c>
      <c r="AL83" s="22" t="str">
        <f t="shared" si="63"/>
        <v/>
      </c>
    </row>
    <row r="84" spans="1:38" ht="18" customHeight="1" x14ac:dyDescent="0.3">
      <c r="A84" s="3"/>
      <c r="B84" s="50"/>
      <c r="C84" s="4"/>
      <c r="D84" s="5"/>
      <c r="E84" s="5"/>
      <c r="F84" s="6"/>
      <c r="G84" s="6"/>
      <c r="H84" s="7"/>
      <c r="I84" s="8" t="str">
        <f t="shared" si="48"/>
        <v/>
      </c>
      <c r="J84" s="9" t="str">
        <f t="shared" si="49"/>
        <v/>
      </c>
      <c r="K84" s="10" t="str">
        <f t="shared" si="50"/>
        <v/>
      </c>
      <c r="L84" s="11" t="str">
        <f t="shared" si="51"/>
        <v/>
      </c>
      <c r="M84" s="12" t="str">
        <f t="shared" si="52"/>
        <v/>
      </c>
      <c r="N84" s="13" t="str">
        <f t="shared" si="53"/>
        <v/>
      </c>
      <c r="O84" s="14" t="str">
        <f t="shared" si="54"/>
        <v/>
      </c>
      <c r="P84" s="15"/>
      <c r="Q84" s="16" t="str">
        <f t="shared" si="64"/>
        <v/>
      </c>
      <c r="R84" s="16" t="str">
        <f t="shared" si="65"/>
        <v/>
      </c>
      <c r="S84" s="17" t="str">
        <f t="shared" si="66"/>
        <v/>
      </c>
      <c r="T84" s="17" t="str">
        <f t="shared" si="67"/>
        <v/>
      </c>
      <c r="U84" s="16" t="str">
        <f t="shared" si="55"/>
        <v/>
      </c>
      <c r="V84" s="17" t="str">
        <f t="shared" si="56"/>
        <v/>
      </c>
      <c r="W84" s="18">
        <f t="shared" si="68"/>
        <v>0</v>
      </c>
      <c r="X84" s="18">
        <f t="shared" si="69"/>
        <v>0</v>
      </c>
      <c r="Y84" s="18" t="str">
        <f t="shared" si="70"/>
        <v/>
      </c>
      <c r="Z84" s="19">
        <f>IF(W84=1,MAX(0,MIN(Settings!$B$6,(IFERROR(VLOOKUP(U83,'Bucket Status'!$A$4:$B$75,2,FALSE()),0)-(SUMIF($U$5:$U83,U83,$AK$5:$AK83)+SUMIF($V$5:$V83,U83,$AL$5:$AL83)+SUMIF($Y$5:$Y83,U83,$AA$5:$AA83)+SUMIF($AC$5:$AC83,U83,$AE$5:$AE83))))),IF(AB83&gt;0,AB83,0))</f>
        <v>0</v>
      </c>
      <c r="AA84" s="19">
        <f t="shared" si="57"/>
        <v>0</v>
      </c>
      <c r="AB84" s="19">
        <f t="shared" si="58"/>
        <v>0</v>
      </c>
      <c r="AC84" s="18" t="str">
        <f t="shared" si="71"/>
        <v/>
      </c>
      <c r="AD84" s="19">
        <f>IF(X84=1,MAX(0,MIN(Settings!$B$6-Z84,(IFERROR(VLOOKUP(V83,'Bucket Status'!$A$4:$B$75,2,FALSE()),0)-(SUMIF($U$5:$U83,V83,$AK$5:$AK83)+SUMIF($V$5:$V83,V83,$AL$5:$AL83)+SUMIF($Y$5:$Y83,V83,$AA$5:$AA83)+SUMIF($AC$5:$AC83,V83,$AE$5:$AE83))))),IF(AF83&gt;0,AF83,0))</f>
        <v>0</v>
      </c>
      <c r="AE84" s="19">
        <f t="shared" si="59"/>
        <v>0</v>
      </c>
      <c r="AF84" s="19">
        <f t="shared" si="60"/>
        <v>0</v>
      </c>
      <c r="AG84" s="20">
        <f>IFERROR(IF(C84="Y",Settings!$B$4+Settings!$B$5,0),0)</f>
        <v>0</v>
      </c>
      <c r="AH84" s="21" t="str">
        <f>IFERROR(IF(U84="","",IFERROR(VLOOKUP(U84,'Bucket Status'!$A$4:$B$75,2,FALSE()),0)-(SUMIF($U$5:$U83,U84,$AK$5:$AK83)+SUMIF($V$5:$V83,U84,$AL$5:$AL83)+SUMIF($Y$5:$Y83,U84,$AA$5:$AA83)+SUMIF($AC$5:$AC83,U84,$AE$5:$AE83))),"")</f>
        <v/>
      </c>
      <c r="AI84" s="22" t="str">
        <f>IFERROR(IF(V84="","",IFERROR(VLOOKUP(V84,'Bucket Status'!$A$4:$B$75,2,FALSE()),0)-(SUMIF($U$5:$U83,V84,$AK$5:$AK83)+SUMIF($V$5:$V83,V84,$AL$5:$AL83)+SUMIF($Y$5:$Y83,V84,$AA$5:$AA83)+SUMIF($AC$5:$AC83,V84,$AE$5:$AE83))),"")</f>
        <v/>
      </c>
      <c r="AJ84" s="23" t="str">
        <f t="shared" si="61"/>
        <v/>
      </c>
      <c r="AK84" s="21" t="str">
        <f t="shared" si="62"/>
        <v/>
      </c>
      <c r="AL84" s="22" t="str">
        <f t="shared" si="63"/>
        <v/>
      </c>
    </row>
    <row r="85" spans="1:38" ht="18" customHeight="1" x14ac:dyDescent="0.3">
      <c r="A85" s="3"/>
      <c r="B85" s="50"/>
      <c r="C85" s="4"/>
      <c r="D85" s="5"/>
      <c r="E85" s="5"/>
      <c r="F85" s="6"/>
      <c r="G85" s="6"/>
      <c r="H85" s="7"/>
      <c r="I85" s="8" t="str">
        <f t="shared" si="48"/>
        <v/>
      </c>
      <c r="J85" s="9" t="str">
        <f t="shared" si="49"/>
        <v/>
      </c>
      <c r="K85" s="10" t="str">
        <f t="shared" si="50"/>
        <v/>
      </c>
      <c r="L85" s="11" t="str">
        <f t="shared" si="51"/>
        <v/>
      </c>
      <c r="M85" s="12" t="str">
        <f t="shared" si="52"/>
        <v/>
      </c>
      <c r="N85" s="13" t="str">
        <f t="shared" si="53"/>
        <v/>
      </c>
      <c r="O85" s="14" t="str">
        <f t="shared" si="54"/>
        <v/>
      </c>
      <c r="P85" s="15"/>
      <c r="Q85" s="16" t="str">
        <f t="shared" si="64"/>
        <v/>
      </c>
      <c r="R85" s="16" t="str">
        <f t="shared" si="65"/>
        <v/>
      </c>
      <c r="S85" s="17" t="str">
        <f t="shared" si="66"/>
        <v/>
      </c>
      <c r="T85" s="17" t="str">
        <f t="shared" si="67"/>
        <v/>
      </c>
      <c r="U85" s="16" t="str">
        <f t="shared" si="55"/>
        <v/>
      </c>
      <c r="V85" s="17" t="str">
        <f t="shared" si="56"/>
        <v/>
      </c>
      <c r="W85" s="18">
        <f t="shared" si="68"/>
        <v>0</v>
      </c>
      <c r="X85" s="18">
        <f t="shared" si="69"/>
        <v>0</v>
      </c>
      <c r="Y85" s="18" t="str">
        <f t="shared" si="70"/>
        <v/>
      </c>
      <c r="Z85" s="19">
        <f>IF(W85=1,MAX(0,MIN(Settings!$B$6,(IFERROR(VLOOKUP(U84,'Bucket Status'!$A$4:$B$75,2,FALSE()),0)-(SUMIF($U$5:$U84,U84,$AK$5:$AK84)+SUMIF($V$5:$V84,U84,$AL$5:$AL84)+SUMIF($Y$5:$Y84,U84,$AA$5:$AA84)+SUMIF($AC$5:$AC84,U84,$AE$5:$AE84))))),IF(AB84&gt;0,AB84,0))</f>
        <v>0</v>
      </c>
      <c r="AA85" s="19">
        <f t="shared" si="57"/>
        <v>0</v>
      </c>
      <c r="AB85" s="19">
        <f t="shared" si="58"/>
        <v>0</v>
      </c>
      <c r="AC85" s="18" t="str">
        <f t="shared" si="71"/>
        <v/>
      </c>
      <c r="AD85" s="19">
        <f>IF(X85=1,MAX(0,MIN(Settings!$B$6-Z85,(IFERROR(VLOOKUP(V84,'Bucket Status'!$A$4:$B$75,2,FALSE()),0)-(SUMIF($U$5:$U84,V84,$AK$5:$AK84)+SUMIF($V$5:$V84,V84,$AL$5:$AL84)+SUMIF($Y$5:$Y84,V84,$AA$5:$AA84)+SUMIF($AC$5:$AC84,V84,$AE$5:$AE84))))),IF(AF84&gt;0,AF84,0))</f>
        <v>0</v>
      </c>
      <c r="AE85" s="19">
        <f t="shared" si="59"/>
        <v>0</v>
      </c>
      <c r="AF85" s="19">
        <f t="shared" si="60"/>
        <v>0</v>
      </c>
      <c r="AG85" s="20">
        <f>IFERROR(IF(C85="Y",Settings!$B$4+Settings!$B$5,0),0)</f>
        <v>0</v>
      </c>
      <c r="AH85" s="21" t="str">
        <f>IFERROR(IF(U85="","",IFERROR(VLOOKUP(U85,'Bucket Status'!$A$4:$B$75,2,FALSE()),0)-(SUMIF($U$5:$U84,U85,$AK$5:$AK84)+SUMIF($V$5:$V84,U85,$AL$5:$AL84)+SUMIF($Y$5:$Y84,U85,$AA$5:$AA84)+SUMIF($AC$5:$AC84,U85,$AE$5:$AE84))),"")</f>
        <v/>
      </c>
      <c r="AI85" s="22" t="str">
        <f>IFERROR(IF(V85="","",IFERROR(VLOOKUP(V85,'Bucket Status'!$A$4:$B$75,2,FALSE()),0)-(SUMIF($U$5:$U84,V85,$AK$5:$AK84)+SUMIF($V$5:$V84,V85,$AL$5:$AL84)+SUMIF($Y$5:$Y84,V85,$AA$5:$AA84)+SUMIF($AC$5:$AC84,V85,$AE$5:$AE84))),"")</f>
        <v/>
      </c>
      <c r="AJ85" s="23" t="str">
        <f t="shared" si="61"/>
        <v/>
      </c>
      <c r="AK85" s="21" t="str">
        <f t="shared" si="62"/>
        <v/>
      </c>
      <c r="AL85" s="22" t="str">
        <f t="shared" si="63"/>
        <v/>
      </c>
    </row>
    <row r="86" spans="1:38" ht="18" customHeight="1" x14ac:dyDescent="0.3">
      <c r="A86" s="3"/>
      <c r="B86" s="50"/>
      <c r="C86" s="4"/>
      <c r="D86" s="5"/>
      <c r="E86" s="5"/>
      <c r="F86" s="6"/>
      <c r="G86" s="6"/>
      <c r="H86" s="7"/>
      <c r="I86" s="8" t="str">
        <f t="shared" si="48"/>
        <v/>
      </c>
      <c r="J86" s="9" t="str">
        <f t="shared" si="49"/>
        <v/>
      </c>
      <c r="K86" s="10" t="str">
        <f t="shared" si="50"/>
        <v/>
      </c>
      <c r="L86" s="11" t="str">
        <f t="shared" si="51"/>
        <v/>
      </c>
      <c r="M86" s="12" t="str">
        <f t="shared" si="52"/>
        <v/>
      </c>
      <c r="N86" s="13" t="str">
        <f t="shared" si="53"/>
        <v/>
      </c>
      <c r="O86" s="14" t="str">
        <f t="shared" si="54"/>
        <v/>
      </c>
      <c r="P86" s="15"/>
      <c r="Q86" s="16" t="str">
        <f t="shared" si="64"/>
        <v/>
      </c>
      <c r="R86" s="16" t="str">
        <f t="shared" si="65"/>
        <v/>
      </c>
      <c r="S86" s="17" t="str">
        <f t="shared" si="66"/>
        <v/>
      </c>
      <c r="T86" s="17" t="str">
        <f t="shared" si="67"/>
        <v/>
      </c>
      <c r="U86" s="16" t="str">
        <f t="shared" si="55"/>
        <v/>
      </c>
      <c r="V86" s="17" t="str">
        <f t="shared" si="56"/>
        <v/>
      </c>
      <c r="W86" s="18">
        <f t="shared" si="68"/>
        <v>0</v>
      </c>
      <c r="X86" s="18">
        <f t="shared" si="69"/>
        <v>0</v>
      </c>
      <c r="Y86" s="18" t="str">
        <f t="shared" si="70"/>
        <v/>
      </c>
      <c r="Z86" s="19">
        <f>IF(W86=1,MAX(0,MIN(Settings!$B$6,(IFERROR(VLOOKUP(U85,'Bucket Status'!$A$4:$B$75,2,FALSE()),0)-(SUMIF($U$5:$U85,U85,$AK$5:$AK85)+SUMIF($V$5:$V85,U85,$AL$5:$AL85)+SUMIF($Y$5:$Y85,U85,$AA$5:$AA85)+SUMIF($AC$5:$AC85,U85,$AE$5:$AE85))))),IF(AB85&gt;0,AB85,0))</f>
        <v>0</v>
      </c>
      <c r="AA86" s="19">
        <f t="shared" si="57"/>
        <v>0</v>
      </c>
      <c r="AB86" s="19">
        <f t="shared" si="58"/>
        <v>0</v>
      </c>
      <c r="AC86" s="18" t="str">
        <f t="shared" si="71"/>
        <v/>
      </c>
      <c r="AD86" s="19">
        <f>IF(X86=1,MAX(0,MIN(Settings!$B$6-Z86,(IFERROR(VLOOKUP(V85,'Bucket Status'!$A$4:$B$75,2,FALSE()),0)-(SUMIF($U$5:$U85,V85,$AK$5:$AK85)+SUMIF($V$5:$V85,V85,$AL$5:$AL85)+SUMIF($Y$5:$Y85,V85,$AA$5:$AA85)+SUMIF($AC$5:$AC85,V85,$AE$5:$AE85))))),IF(AF85&gt;0,AF85,0))</f>
        <v>0</v>
      </c>
      <c r="AE86" s="19">
        <f t="shared" si="59"/>
        <v>0</v>
      </c>
      <c r="AF86" s="19">
        <f t="shared" si="60"/>
        <v>0</v>
      </c>
      <c r="AG86" s="20">
        <f>IFERROR(IF(C86="Y",Settings!$B$4+Settings!$B$5,0),0)</f>
        <v>0</v>
      </c>
      <c r="AH86" s="21" t="str">
        <f>IFERROR(IF(U86="","",IFERROR(VLOOKUP(U86,'Bucket Status'!$A$4:$B$75,2,FALSE()),0)-(SUMIF($U$5:$U85,U86,$AK$5:$AK85)+SUMIF($V$5:$V85,U86,$AL$5:$AL85)+SUMIF($Y$5:$Y85,U86,$AA$5:$AA85)+SUMIF($AC$5:$AC85,U86,$AE$5:$AE85))),"")</f>
        <v/>
      </c>
      <c r="AI86" s="22" t="str">
        <f>IFERROR(IF(V86="","",IFERROR(VLOOKUP(V86,'Bucket Status'!$A$4:$B$75,2,FALSE()),0)-(SUMIF($U$5:$U85,V86,$AK$5:$AK85)+SUMIF($V$5:$V85,V86,$AL$5:$AL85)+SUMIF($Y$5:$Y85,V86,$AA$5:$AA85)+SUMIF($AC$5:$AC85,V86,$AE$5:$AE85))),"")</f>
        <v/>
      </c>
      <c r="AJ86" s="23" t="str">
        <f t="shared" si="61"/>
        <v/>
      </c>
      <c r="AK86" s="21" t="str">
        <f t="shared" si="62"/>
        <v/>
      </c>
      <c r="AL86" s="22" t="str">
        <f t="shared" si="63"/>
        <v/>
      </c>
    </row>
    <row r="87" spans="1:38" ht="18" customHeight="1" x14ac:dyDescent="0.3">
      <c r="A87" s="3"/>
      <c r="B87" s="50"/>
      <c r="C87" s="4"/>
      <c r="D87" s="5"/>
      <c r="E87" s="5"/>
      <c r="F87" s="6"/>
      <c r="G87" s="6"/>
      <c r="H87" s="7"/>
      <c r="I87" s="8" t="str">
        <f t="shared" si="48"/>
        <v/>
      </c>
      <c r="J87" s="9" t="str">
        <f t="shared" si="49"/>
        <v/>
      </c>
      <c r="K87" s="10" t="str">
        <f t="shared" si="50"/>
        <v/>
      </c>
      <c r="L87" s="11" t="str">
        <f t="shared" si="51"/>
        <v/>
      </c>
      <c r="M87" s="12" t="str">
        <f t="shared" si="52"/>
        <v/>
      </c>
      <c r="N87" s="13" t="str">
        <f t="shared" si="53"/>
        <v/>
      </c>
      <c r="O87" s="14" t="str">
        <f t="shared" si="54"/>
        <v/>
      </c>
      <c r="P87" s="15"/>
      <c r="Q87" s="16" t="str">
        <f t="shared" si="64"/>
        <v/>
      </c>
      <c r="R87" s="16" t="str">
        <f t="shared" si="65"/>
        <v/>
      </c>
      <c r="S87" s="17" t="str">
        <f t="shared" si="66"/>
        <v/>
      </c>
      <c r="T87" s="17" t="str">
        <f t="shared" si="67"/>
        <v/>
      </c>
      <c r="U87" s="16" t="str">
        <f t="shared" si="55"/>
        <v/>
      </c>
      <c r="V87" s="17" t="str">
        <f t="shared" si="56"/>
        <v/>
      </c>
      <c r="W87" s="18">
        <f t="shared" si="68"/>
        <v>0</v>
      </c>
      <c r="X87" s="18">
        <f t="shared" si="69"/>
        <v>0</v>
      </c>
      <c r="Y87" s="18" t="str">
        <f t="shared" si="70"/>
        <v/>
      </c>
      <c r="Z87" s="19">
        <f>IF(W87=1,MAX(0,MIN(Settings!$B$6,(IFERROR(VLOOKUP(U86,'Bucket Status'!$A$4:$B$75,2,FALSE()),0)-(SUMIF($U$5:$U86,U86,$AK$5:$AK86)+SUMIF($V$5:$V86,U86,$AL$5:$AL86)+SUMIF($Y$5:$Y86,U86,$AA$5:$AA86)+SUMIF($AC$5:$AC86,U86,$AE$5:$AE86))))),IF(AB86&gt;0,AB86,0))</f>
        <v>0</v>
      </c>
      <c r="AA87" s="19">
        <f t="shared" si="57"/>
        <v>0</v>
      </c>
      <c r="AB87" s="19">
        <f t="shared" si="58"/>
        <v>0</v>
      </c>
      <c r="AC87" s="18" t="str">
        <f t="shared" si="71"/>
        <v/>
      </c>
      <c r="AD87" s="19">
        <f>IF(X87=1,MAX(0,MIN(Settings!$B$6-Z87,(IFERROR(VLOOKUP(V86,'Bucket Status'!$A$4:$B$75,2,FALSE()),0)-(SUMIF($U$5:$U86,V86,$AK$5:$AK86)+SUMIF($V$5:$V86,V86,$AL$5:$AL86)+SUMIF($Y$5:$Y86,V86,$AA$5:$AA86)+SUMIF($AC$5:$AC86,V86,$AE$5:$AE86))))),IF(AF86&gt;0,AF86,0))</f>
        <v>0</v>
      </c>
      <c r="AE87" s="19">
        <f t="shared" si="59"/>
        <v>0</v>
      </c>
      <c r="AF87" s="19">
        <f t="shared" si="60"/>
        <v>0</v>
      </c>
      <c r="AG87" s="20">
        <f>IFERROR(IF(C87="Y",Settings!$B$4+Settings!$B$5,0),0)</f>
        <v>0</v>
      </c>
      <c r="AH87" s="21" t="str">
        <f>IFERROR(IF(U87="","",IFERROR(VLOOKUP(U87,'Bucket Status'!$A$4:$B$75,2,FALSE()),0)-(SUMIF($U$5:$U86,U87,$AK$5:$AK86)+SUMIF($V$5:$V86,U87,$AL$5:$AL86)+SUMIF($Y$5:$Y86,U87,$AA$5:$AA86)+SUMIF($AC$5:$AC86,U87,$AE$5:$AE86))),"")</f>
        <v/>
      </c>
      <c r="AI87" s="22" t="str">
        <f>IFERROR(IF(V87="","",IFERROR(VLOOKUP(V87,'Bucket Status'!$A$4:$B$75,2,FALSE()),0)-(SUMIF($U$5:$U86,V87,$AK$5:$AK86)+SUMIF($V$5:$V86,V87,$AL$5:$AL86)+SUMIF($Y$5:$Y86,V87,$AA$5:$AA86)+SUMIF($AC$5:$AC86,V87,$AE$5:$AE86))),"")</f>
        <v/>
      </c>
      <c r="AJ87" s="23" t="str">
        <f t="shared" si="61"/>
        <v/>
      </c>
      <c r="AK87" s="21" t="str">
        <f t="shared" si="62"/>
        <v/>
      </c>
      <c r="AL87" s="22" t="str">
        <f t="shared" si="63"/>
        <v/>
      </c>
    </row>
    <row r="88" spans="1:38" ht="18" customHeight="1" x14ac:dyDescent="0.3">
      <c r="A88" s="3"/>
      <c r="B88" s="50"/>
      <c r="C88" s="4"/>
      <c r="D88" s="5"/>
      <c r="E88" s="5"/>
      <c r="F88" s="6"/>
      <c r="G88" s="6"/>
      <c r="H88" s="7"/>
      <c r="I88" s="8" t="str">
        <f t="shared" si="48"/>
        <v/>
      </c>
      <c r="J88" s="9" t="str">
        <f t="shared" si="49"/>
        <v/>
      </c>
      <c r="K88" s="10" t="str">
        <f t="shared" si="50"/>
        <v/>
      </c>
      <c r="L88" s="11" t="str">
        <f t="shared" si="51"/>
        <v/>
      </c>
      <c r="M88" s="12" t="str">
        <f t="shared" si="52"/>
        <v/>
      </c>
      <c r="N88" s="13" t="str">
        <f t="shared" si="53"/>
        <v/>
      </c>
      <c r="O88" s="14" t="str">
        <f t="shared" si="54"/>
        <v/>
      </c>
      <c r="P88" s="15"/>
      <c r="Q88" s="16" t="str">
        <f t="shared" si="64"/>
        <v/>
      </c>
      <c r="R88" s="16" t="str">
        <f t="shared" si="65"/>
        <v/>
      </c>
      <c r="S88" s="17" t="str">
        <f t="shared" si="66"/>
        <v/>
      </c>
      <c r="T88" s="17" t="str">
        <f t="shared" si="67"/>
        <v/>
      </c>
      <c r="U88" s="16" t="str">
        <f t="shared" si="55"/>
        <v/>
      </c>
      <c r="V88" s="17" t="str">
        <f t="shared" si="56"/>
        <v/>
      </c>
      <c r="W88" s="18">
        <f t="shared" si="68"/>
        <v>0</v>
      </c>
      <c r="X88" s="18">
        <f t="shared" si="69"/>
        <v>0</v>
      </c>
      <c r="Y88" s="18" t="str">
        <f t="shared" si="70"/>
        <v/>
      </c>
      <c r="Z88" s="19">
        <f>IF(W88=1,MAX(0,MIN(Settings!$B$6,(IFERROR(VLOOKUP(U87,'Bucket Status'!$A$4:$B$75,2,FALSE()),0)-(SUMIF($U$5:$U87,U87,$AK$5:$AK87)+SUMIF($V$5:$V87,U87,$AL$5:$AL87)+SUMIF($Y$5:$Y87,U87,$AA$5:$AA87)+SUMIF($AC$5:$AC87,U87,$AE$5:$AE87))))),IF(AB87&gt;0,AB87,0))</f>
        <v>0</v>
      </c>
      <c r="AA88" s="19">
        <f t="shared" si="57"/>
        <v>0</v>
      </c>
      <c r="AB88" s="19">
        <f t="shared" si="58"/>
        <v>0</v>
      </c>
      <c r="AC88" s="18" t="str">
        <f t="shared" si="71"/>
        <v/>
      </c>
      <c r="AD88" s="19">
        <f>IF(X88=1,MAX(0,MIN(Settings!$B$6-Z88,(IFERROR(VLOOKUP(V87,'Bucket Status'!$A$4:$B$75,2,FALSE()),0)-(SUMIF($U$5:$U87,V87,$AK$5:$AK87)+SUMIF($V$5:$V87,V87,$AL$5:$AL87)+SUMIF($Y$5:$Y87,V87,$AA$5:$AA87)+SUMIF($AC$5:$AC87,V87,$AE$5:$AE87))))),IF(AF87&gt;0,AF87,0))</f>
        <v>0</v>
      </c>
      <c r="AE88" s="19">
        <f t="shared" si="59"/>
        <v>0</v>
      </c>
      <c r="AF88" s="19">
        <f t="shared" si="60"/>
        <v>0</v>
      </c>
      <c r="AG88" s="20">
        <f>IFERROR(IF(C88="Y",Settings!$B$4+Settings!$B$5,0),0)</f>
        <v>0</v>
      </c>
      <c r="AH88" s="21" t="str">
        <f>IFERROR(IF(U88="","",IFERROR(VLOOKUP(U88,'Bucket Status'!$A$4:$B$75,2,FALSE()),0)-(SUMIF($U$5:$U87,U88,$AK$5:$AK87)+SUMIF($V$5:$V87,U88,$AL$5:$AL87)+SUMIF($Y$5:$Y87,U88,$AA$5:$AA87)+SUMIF($AC$5:$AC87,U88,$AE$5:$AE87))),"")</f>
        <v/>
      </c>
      <c r="AI88" s="22" t="str">
        <f>IFERROR(IF(V88="","",IFERROR(VLOOKUP(V88,'Bucket Status'!$A$4:$B$75,2,FALSE()),0)-(SUMIF($U$5:$U87,V88,$AK$5:$AK87)+SUMIF($V$5:$V87,V88,$AL$5:$AL87)+SUMIF($Y$5:$Y87,V88,$AA$5:$AA87)+SUMIF($AC$5:$AC87,V88,$AE$5:$AE87))),"")</f>
        <v/>
      </c>
      <c r="AJ88" s="23" t="str">
        <f t="shared" si="61"/>
        <v/>
      </c>
      <c r="AK88" s="21" t="str">
        <f t="shared" si="62"/>
        <v/>
      </c>
      <c r="AL88" s="22" t="str">
        <f t="shared" si="63"/>
        <v/>
      </c>
    </row>
    <row r="89" spans="1:38" ht="18" customHeight="1" x14ac:dyDescent="0.3">
      <c r="A89" s="3"/>
      <c r="B89" s="50"/>
      <c r="C89" s="4"/>
      <c r="D89" s="5"/>
      <c r="E89" s="5"/>
      <c r="F89" s="6"/>
      <c r="G89" s="6"/>
      <c r="H89" s="7"/>
      <c r="I89" s="8" t="str">
        <f t="shared" si="48"/>
        <v/>
      </c>
      <c r="J89" s="9" t="str">
        <f t="shared" si="49"/>
        <v/>
      </c>
      <c r="K89" s="10" t="str">
        <f t="shared" si="50"/>
        <v/>
      </c>
      <c r="L89" s="11" t="str">
        <f t="shared" si="51"/>
        <v/>
      </c>
      <c r="M89" s="12" t="str">
        <f t="shared" si="52"/>
        <v/>
      </c>
      <c r="N89" s="13" t="str">
        <f t="shared" si="53"/>
        <v/>
      </c>
      <c r="O89" s="14" t="str">
        <f t="shared" si="54"/>
        <v/>
      </c>
      <c r="P89" s="15"/>
      <c r="Q89" s="16" t="str">
        <f t="shared" si="64"/>
        <v/>
      </c>
      <c r="R89" s="16" t="str">
        <f t="shared" si="65"/>
        <v/>
      </c>
      <c r="S89" s="17" t="str">
        <f t="shared" si="66"/>
        <v/>
      </c>
      <c r="T89" s="17" t="str">
        <f t="shared" si="67"/>
        <v/>
      </c>
      <c r="U89" s="16" t="str">
        <f t="shared" si="55"/>
        <v/>
      </c>
      <c r="V89" s="17" t="str">
        <f t="shared" si="56"/>
        <v/>
      </c>
      <c r="W89" s="18">
        <f t="shared" si="68"/>
        <v>0</v>
      </c>
      <c r="X89" s="18">
        <f t="shared" si="69"/>
        <v>0</v>
      </c>
      <c r="Y89" s="18" t="str">
        <f t="shared" si="70"/>
        <v/>
      </c>
      <c r="Z89" s="19">
        <f>IF(W89=1,MAX(0,MIN(Settings!$B$6,(IFERROR(VLOOKUP(U88,'Bucket Status'!$A$4:$B$75,2,FALSE()),0)-(SUMIF($U$5:$U88,U88,$AK$5:$AK88)+SUMIF($V$5:$V88,U88,$AL$5:$AL88)+SUMIF($Y$5:$Y88,U88,$AA$5:$AA88)+SUMIF($AC$5:$AC88,U88,$AE$5:$AE88))))),IF(AB88&gt;0,AB88,0))</f>
        <v>0</v>
      </c>
      <c r="AA89" s="19">
        <f t="shared" si="57"/>
        <v>0</v>
      </c>
      <c r="AB89" s="19">
        <f t="shared" si="58"/>
        <v>0</v>
      </c>
      <c r="AC89" s="18" t="str">
        <f t="shared" si="71"/>
        <v/>
      </c>
      <c r="AD89" s="19">
        <f>IF(X89=1,MAX(0,MIN(Settings!$B$6-Z89,(IFERROR(VLOOKUP(V88,'Bucket Status'!$A$4:$B$75,2,FALSE()),0)-(SUMIF($U$5:$U88,V88,$AK$5:$AK88)+SUMIF($V$5:$V88,V88,$AL$5:$AL88)+SUMIF($Y$5:$Y88,V88,$AA$5:$AA88)+SUMIF($AC$5:$AC88,V88,$AE$5:$AE88))))),IF(AF88&gt;0,AF88,0))</f>
        <v>0</v>
      </c>
      <c r="AE89" s="19">
        <f t="shared" si="59"/>
        <v>0</v>
      </c>
      <c r="AF89" s="19">
        <f t="shared" si="60"/>
        <v>0</v>
      </c>
      <c r="AG89" s="20">
        <f>IFERROR(IF(C89="Y",Settings!$B$4+Settings!$B$5,0),0)</f>
        <v>0</v>
      </c>
      <c r="AH89" s="21" t="str">
        <f>IFERROR(IF(U89="","",IFERROR(VLOOKUP(U89,'Bucket Status'!$A$4:$B$75,2,FALSE()),0)-(SUMIF($U$5:$U88,U89,$AK$5:$AK88)+SUMIF($V$5:$V88,U89,$AL$5:$AL88)+SUMIF($Y$5:$Y88,U89,$AA$5:$AA88)+SUMIF($AC$5:$AC88,U89,$AE$5:$AE88))),"")</f>
        <v/>
      </c>
      <c r="AI89" s="22" t="str">
        <f>IFERROR(IF(V89="","",IFERROR(VLOOKUP(V89,'Bucket Status'!$A$4:$B$75,2,FALSE()),0)-(SUMIF($U$5:$U88,V89,$AK$5:$AK88)+SUMIF($V$5:$V88,V89,$AL$5:$AL88)+SUMIF($Y$5:$Y88,V89,$AA$5:$AA88)+SUMIF($AC$5:$AC88,V89,$AE$5:$AE88))),"")</f>
        <v/>
      </c>
      <c r="AJ89" s="23" t="str">
        <f t="shared" si="61"/>
        <v/>
      </c>
      <c r="AK89" s="21" t="str">
        <f t="shared" si="62"/>
        <v/>
      </c>
      <c r="AL89" s="22" t="str">
        <f t="shared" si="63"/>
        <v/>
      </c>
    </row>
    <row r="90" spans="1:38" ht="18" customHeight="1" x14ac:dyDescent="0.3">
      <c r="A90" s="3"/>
      <c r="B90" s="50"/>
      <c r="C90" s="4"/>
      <c r="D90" s="5"/>
      <c r="E90" s="5"/>
      <c r="F90" s="6"/>
      <c r="G90" s="6"/>
      <c r="H90" s="7"/>
      <c r="I90" s="8" t="str">
        <f t="shared" si="48"/>
        <v/>
      </c>
      <c r="J90" s="9" t="str">
        <f t="shared" si="49"/>
        <v/>
      </c>
      <c r="K90" s="10" t="str">
        <f t="shared" si="50"/>
        <v/>
      </c>
      <c r="L90" s="11" t="str">
        <f t="shared" si="51"/>
        <v/>
      </c>
      <c r="M90" s="12" t="str">
        <f t="shared" si="52"/>
        <v/>
      </c>
      <c r="N90" s="13" t="str">
        <f t="shared" si="53"/>
        <v/>
      </c>
      <c r="O90" s="14" t="str">
        <f t="shared" si="54"/>
        <v/>
      </c>
      <c r="P90" s="15"/>
      <c r="Q90" s="16" t="str">
        <f t="shared" si="64"/>
        <v/>
      </c>
      <c r="R90" s="16" t="str">
        <f t="shared" si="65"/>
        <v/>
      </c>
      <c r="S90" s="17" t="str">
        <f t="shared" si="66"/>
        <v/>
      </c>
      <c r="T90" s="17" t="str">
        <f t="shared" si="67"/>
        <v/>
      </c>
      <c r="U90" s="16" t="str">
        <f t="shared" si="55"/>
        <v/>
      </c>
      <c r="V90" s="17" t="str">
        <f t="shared" si="56"/>
        <v/>
      </c>
      <c r="W90" s="18">
        <f t="shared" si="68"/>
        <v>0</v>
      </c>
      <c r="X90" s="18">
        <f t="shared" si="69"/>
        <v>0</v>
      </c>
      <c r="Y90" s="18" t="str">
        <f t="shared" si="70"/>
        <v/>
      </c>
      <c r="Z90" s="19">
        <f>IF(W90=1,MAX(0,MIN(Settings!$B$6,(IFERROR(VLOOKUP(U89,'Bucket Status'!$A$4:$B$75,2,FALSE()),0)-(SUMIF($U$5:$U89,U89,$AK$5:$AK89)+SUMIF($V$5:$V89,U89,$AL$5:$AL89)+SUMIF($Y$5:$Y89,U89,$AA$5:$AA89)+SUMIF($AC$5:$AC89,U89,$AE$5:$AE89))))),IF(AB89&gt;0,AB89,0))</f>
        <v>0</v>
      </c>
      <c r="AA90" s="19">
        <f t="shared" si="57"/>
        <v>0</v>
      </c>
      <c r="AB90" s="19">
        <f t="shared" si="58"/>
        <v>0</v>
      </c>
      <c r="AC90" s="18" t="str">
        <f t="shared" si="71"/>
        <v/>
      </c>
      <c r="AD90" s="19">
        <f>IF(X90=1,MAX(0,MIN(Settings!$B$6-Z90,(IFERROR(VLOOKUP(V89,'Bucket Status'!$A$4:$B$75,2,FALSE()),0)-(SUMIF($U$5:$U89,V89,$AK$5:$AK89)+SUMIF($V$5:$V89,V89,$AL$5:$AL89)+SUMIF($Y$5:$Y89,V89,$AA$5:$AA89)+SUMIF($AC$5:$AC89,V89,$AE$5:$AE89))))),IF(AF89&gt;0,AF89,0))</f>
        <v>0</v>
      </c>
      <c r="AE90" s="19">
        <f t="shared" si="59"/>
        <v>0</v>
      </c>
      <c r="AF90" s="19">
        <f t="shared" si="60"/>
        <v>0</v>
      </c>
      <c r="AG90" s="20">
        <f>IFERROR(IF(C90="Y",Settings!$B$4+Settings!$B$5,0),0)</f>
        <v>0</v>
      </c>
      <c r="AH90" s="21" t="str">
        <f>IFERROR(IF(U90="","",IFERROR(VLOOKUP(U90,'Bucket Status'!$A$4:$B$75,2,FALSE()),0)-(SUMIF($U$5:$U89,U90,$AK$5:$AK89)+SUMIF($V$5:$V89,U90,$AL$5:$AL89)+SUMIF($Y$5:$Y89,U90,$AA$5:$AA89)+SUMIF($AC$5:$AC89,U90,$AE$5:$AE89))),"")</f>
        <v/>
      </c>
      <c r="AI90" s="22" t="str">
        <f>IFERROR(IF(V90="","",IFERROR(VLOOKUP(V90,'Bucket Status'!$A$4:$B$75,2,FALSE()),0)-(SUMIF($U$5:$U89,V90,$AK$5:$AK89)+SUMIF($V$5:$V89,V90,$AL$5:$AL89)+SUMIF($Y$5:$Y89,V90,$AA$5:$AA89)+SUMIF($AC$5:$AC89,V90,$AE$5:$AE89))),"")</f>
        <v/>
      </c>
      <c r="AJ90" s="23" t="str">
        <f t="shared" si="61"/>
        <v/>
      </c>
      <c r="AK90" s="21" t="str">
        <f t="shared" si="62"/>
        <v/>
      </c>
      <c r="AL90" s="22" t="str">
        <f t="shared" si="63"/>
        <v/>
      </c>
    </row>
    <row r="91" spans="1:38" ht="18" customHeight="1" x14ac:dyDescent="0.3">
      <c r="A91" s="3"/>
      <c r="B91" s="50"/>
      <c r="C91" s="4"/>
      <c r="D91" s="5"/>
      <c r="E91" s="5"/>
      <c r="F91" s="6"/>
      <c r="G91" s="6"/>
      <c r="H91" s="7"/>
      <c r="I91" s="8" t="str">
        <f t="shared" si="48"/>
        <v/>
      </c>
      <c r="J91" s="9" t="str">
        <f t="shared" si="49"/>
        <v/>
      </c>
      <c r="K91" s="10" t="str">
        <f t="shared" si="50"/>
        <v/>
      </c>
      <c r="L91" s="11" t="str">
        <f t="shared" si="51"/>
        <v/>
      </c>
      <c r="M91" s="12" t="str">
        <f t="shared" si="52"/>
        <v/>
      </c>
      <c r="N91" s="13" t="str">
        <f t="shared" si="53"/>
        <v/>
      </c>
      <c r="O91" s="14" t="str">
        <f t="shared" si="54"/>
        <v/>
      </c>
      <c r="P91" s="15"/>
      <c r="Q91" s="16" t="str">
        <f t="shared" si="64"/>
        <v/>
      </c>
      <c r="R91" s="16" t="str">
        <f t="shared" si="65"/>
        <v/>
      </c>
      <c r="S91" s="17" t="str">
        <f t="shared" si="66"/>
        <v/>
      </c>
      <c r="T91" s="17" t="str">
        <f t="shared" si="67"/>
        <v/>
      </c>
      <c r="U91" s="16" t="str">
        <f t="shared" si="55"/>
        <v/>
      </c>
      <c r="V91" s="17" t="str">
        <f t="shared" si="56"/>
        <v/>
      </c>
      <c r="W91" s="18">
        <f t="shared" si="68"/>
        <v>0</v>
      </c>
      <c r="X91" s="18">
        <f t="shared" si="69"/>
        <v>0</v>
      </c>
      <c r="Y91" s="18" t="str">
        <f t="shared" si="70"/>
        <v/>
      </c>
      <c r="Z91" s="19">
        <f>IF(W91=1,MAX(0,MIN(Settings!$B$6,(IFERROR(VLOOKUP(U90,'Bucket Status'!$A$4:$B$75,2,FALSE()),0)-(SUMIF($U$5:$U90,U90,$AK$5:$AK90)+SUMIF($V$5:$V90,U90,$AL$5:$AL90)+SUMIF($Y$5:$Y90,U90,$AA$5:$AA90)+SUMIF($AC$5:$AC90,U90,$AE$5:$AE90))))),IF(AB90&gt;0,AB90,0))</f>
        <v>0</v>
      </c>
      <c r="AA91" s="19">
        <f t="shared" si="57"/>
        <v>0</v>
      </c>
      <c r="AB91" s="19">
        <f t="shared" si="58"/>
        <v>0</v>
      </c>
      <c r="AC91" s="18" t="str">
        <f t="shared" si="71"/>
        <v/>
      </c>
      <c r="AD91" s="19">
        <f>IF(X91=1,MAX(0,MIN(Settings!$B$6-Z91,(IFERROR(VLOOKUP(V90,'Bucket Status'!$A$4:$B$75,2,FALSE()),0)-(SUMIF($U$5:$U90,V90,$AK$5:$AK90)+SUMIF($V$5:$V90,V90,$AL$5:$AL90)+SUMIF($Y$5:$Y90,V90,$AA$5:$AA90)+SUMIF($AC$5:$AC90,V90,$AE$5:$AE90))))),IF(AF90&gt;0,AF90,0))</f>
        <v>0</v>
      </c>
      <c r="AE91" s="19">
        <f t="shared" si="59"/>
        <v>0</v>
      </c>
      <c r="AF91" s="19">
        <f t="shared" si="60"/>
        <v>0</v>
      </c>
      <c r="AG91" s="20">
        <f>IFERROR(IF(C91="Y",Settings!$B$4+Settings!$B$5,0),0)</f>
        <v>0</v>
      </c>
      <c r="AH91" s="21" t="str">
        <f>IFERROR(IF(U91="","",IFERROR(VLOOKUP(U91,'Bucket Status'!$A$4:$B$75,2,FALSE()),0)-(SUMIF($U$5:$U90,U91,$AK$5:$AK90)+SUMIF($V$5:$V90,U91,$AL$5:$AL90)+SUMIF($Y$5:$Y90,U91,$AA$5:$AA90)+SUMIF($AC$5:$AC90,U91,$AE$5:$AE90))),"")</f>
        <v/>
      </c>
      <c r="AI91" s="22" t="str">
        <f>IFERROR(IF(V91="","",IFERROR(VLOOKUP(V91,'Bucket Status'!$A$4:$B$75,2,FALSE()),0)-(SUMIF($U$5:$U90,V91,$AK$5:$AK90)+SUMIF($V$5:$V90,V91,$AL$5:$AL90)+SUMIF($Y$5:$Y90,V91,$AA$5:$AA90)+SUMIF($AC$5:$AC90,V91,$AE$5:$AE90))),"")</f>
        <v/>
      </c>
      <c r="AJ91" s="23" t="str">
        <f t="shared" si="61"/>
        <v/>
      </c>
      <c r="AK91" s="21" t="str">
        <f t="shared" si="62"/>
        <v/>
      </c>
      <c r="AL91" s="22" t="str">
        <f t="shared" si="63"/>
        <v/>
      </c>
    </row>
    <row r="92" spans="1:38" ht="18" customHeight="1" x14ac:dyDescent="0.3">
      <c r="A92" s="3"/>
      <c r="B92" s="50"/>
      <c r="C92" s="4"/>
      <c r="D92" s="5"/>
      <c r="E92" s="5"/>
      <c r="F92" s="6"/>
      <c r="G92" s="6"/>
      <c r="H92" s="7"/>
      <c r="I92" s="8" t="str">
        <f t="shared" si="48"/>
        <v/>
      </c>
      <c r="J92" s="9" t="str">
        <f t="shared" si="49"/>
        <v/>
      </c>
      <c r="K92" s="10" t="str">
        <f t="shared" si="50"/>
        <v/>
      </c>
      <c r="L92" s="11" t="str">
        <f t="shared" si="51"/>
        <v/>
      </c>
      <c r="M92" s="12" t="str">
        <f t="shared" si="52"/>
        <v/>
      </c>
      <c r="N92" s="13" t="str">
        <f t="shared" si="53"/>
        <v/>
      </c>
      <c r="O92" s="14" t="str">
        <f t="shared" si="54"/>
        <v/>
      </c>
      <c r="P92" s="15"/>
      <c r="Q92" s="16" t="str">
        <f t="shared" si="64"/>
        <v/>
      </c>
      <c r="R92" s="16" t="str">
        <f t="shared" si="65"/>
        <v/>
      </c>
      <c r="S92" s="17" t="str">
        <f t="shared" si="66"/>
        <v/>
      </c>
      <c r="T92" s="17" t="str">
        <f t="shared" si="67"/>
        <v/>
      </c>
      <c r="U92" s="16" t="str">
        <f t="shared" si="55"/>
        <v/>
      </c>
      <c r="V92" s="17" t="str">
        <f t="shared" si="56"/>
        <v/>
      </c>
      <c r="W92" s="18">
        <f t="shared" si="68"/>
        <v>0</v>
      </c>
      <c r="X92" s="18">
        <f t="shared" si="69"/>
        <v>0</v>
      </c>
      <c r="Y92" s="18" t="str">
        <f t="shared" si="70"/>
        <v/>
      </c>
      <c r="Z92" s="19">
        <f>IF(W92=1,MAX(0,MIN(Settings!$B$6,(IFERROR(VLOOKUP(U91,'Bucket Status'!$A$4:$B$75,2,FALSE()),0)-(SUMIF($U$5:$U91,U91,$AK$5:$AK91)+SUMIF($V$5:$V91,U91,$AL$5:$AL91)+SUMIF($Y$5:$Y91,U91,$AA$5:$AA91)+SUMIF($AC$5:$AC91,U91,$AE$5:$AE91))))),IF(AB91&gt;0,AB91,0))</f>
        <v>0</v>
      </c>
      <c r="AA92" s="19">
        <f t="shared" si="57"/>
        <v>0</v>
      </c>
      <c r="AB92" s="19">
        <f t="shared" si="58"/>
        <v>0</v>
      </c>
      <c r="AC92" s="18" t="str">
        <f t="shared" si="71"/>
        <v/>
      </c>
      <c r="AD92" s="19">
        <f>IF(X92=1,MAX(0,MIN(Settings!$B$6-Z92,(IFERROR(VLOOKUP(V91,'Bucket Status'!$A$4:$B$75,2,FALSE()),0)-(SUMIF($U$5:$U91,V91,$AK$5:$AK91)+SUMIF($V$5:$V91,V91,$AL$5:$AL91)+SUMIF($Y$5:$Y91,V91,$AA$5:$AA91)+SUMIF($AC$5:$AC91,V91,$AE$5:$AE91))))),IF(AF91&gt;0,AF91,0))</f>
        <v>0</v>
      </c>
      <c r="AE92" s="19">
        <f t="shared" si="59"/>
        <v>0</v>
      </c>
      <c r="AF92" s="19">
        <f t="shared" si="60"/>
        <v>0</v>
      </c>
      <c r="AG92" s="20">
        <f>IFERROR(IF(C92="Y",Settings!$B$4+Settings!$B$5,0),0)</f>
        <v>0</v>
      </c>
      <c r="AH92" s="21" t="str">
        <f>IFERROR(IF(U92="","",IFERROR(VLOOKUP(U92,'Bucket Status'!$A$4:$B$75,2,FALSE()),0)-(SUMIF($U$5:$U91,U92,$AK$5:$AK91)+SUMIF($V$5:$V91,U92,$AL$5:$AL91)+SUMIF($Y$5:$Y91,U92,$AA$5:$AA91)+SUMIF($AC$5:$AC91,U92,$AE$5:$AE91))),"")</f>
        <v/>
      </c>
      <c r="AI92" s="22" t="str">
        <f>IFERROR(IF(V92="","",IFERROR(VLOOKUP(V92,'Bucket Status'!$A$4:$B$75,2,FALSE()),0)-(SUMIF($U$5:$U91,V92,$AK$5:$AK91)+SUMIF($V$5:$V91,V92,$AL$5:$AL91)+SUMIF($Y$5:$Y91,V92,$AA$5:$AA91)+SUMIF($AC$5:$AC91,V92,$AE$5:$AE91))),"")</f>
        <v/>
      </c>
      <c r="AJ92" s="23" t="str">
        <f t="shared" si="61"/>
        <v/>
      </c>
      <c r="AK92" s="21" t="str">
        <f t="shared" si="62"/>
        <v/>
      </c>
      <c r="AL92" s="22" t="str">
        <f t="shared" si="63"/>
        <v/>
      </c>
    </row>
    <row r="93" spans="1:38" ht="18" customHeight="1" x14ac:dyDescent="0.3">
      <c r="A93" s="3"/>
      <c r="B93" s="50"/>
      <c r="C93" s="4"/>
      <c r="D93" s="5"/>
      <c r="E93" s="5"/>
      <c r="F93" s="6"/>
      <c r="G93" s="6"/>
      <c r="H93" s="7"/>
      <c r="I93" s="8" t="str">
        <f t="shared" si="48"/>
        <v/>
      </c>
      <c r="J93" s="9" t="str">
        <f t="shared" si="49"/>
        <v/>
      </c>
      <c r="K93" s="10" t="str">
        <f t="shared" si="50"/>
        <v/>
      </c>
      <c r="L93" s="11" t="str">
        <f t="shared" si="51"/>
        <v/>
      </c>
      <c r="M93" s="12" t="str">
        <f t="shared" si="52"/>
        <v/>
      </c>
      <c r="N93" s="13" t="str">
        <f t="shared" si="53"/>
        <v/>
      </c>
      <c r="O93" s="14" t="str">
        <f t="shared" si="54"/>
        <v/>
      </c>
      <c r="P93" s="15"/>
      <c r="Q93" s="16" t="str">
        <f t="shared" si="64"/>
        <v/>
      </c>
      <c r="R93" s="16" t="str">
        <f t="shared" si="65"/>
        <v/>
      </c>
      <c r="S93" s="17" t="str">
        <f t="shared" si="66"/>
        <v/>
      </c>
      <c r="T93" s="17" t="str">
        <f t="shared" si="67"/>
        <v/>
      </c>
      <c r="U93" s="16" t="str">
        <f t="shared" si="55"/>
        <v/>
      </c>
      <c r="V93" s="17" t="str">
        <f t="shared" si="56"/>
        <v/>
      </c>
      <c r="W93" s="18">
        <f t="shared" si="68"/>
        <v>0</v>
      </c>
      <c r="X93" s="18">
        <f t="shared" si="69"/>
        <v>0</v>
      </c>
      <c r="Y93" s="18" t="str">
        <f t="shared" si="70"/>
        <v/>
      </c>
      <c r="Z93" s="19">
        <f>IF(W93=1,MAX(0,MIN(Settings!$B$6,(IFERROR(VLOOKUP(U92,'Bucket Status'!$A$4:$B$75,2,FALSE()),0)-(SUMIF($U$5:$U92,U92,$AK$5:$AK92)+SUMIF($V$5:$V92,U92,$AL$5:$AL92)+SUMIF($Y$5:$Y92,U92,$AA$5:$AA92)+SUMIF($AC$5:$AC92,U92,$AE$5:$AE92))))),IF(AB92&gt;0,AB92,0))</f>
        <v>0</v>
      </c>
      <c r="AA93" s="19">
        <f t="shared" si="57"/>
        <v>0</v>
      </c>
      <c r="AB93" s="19">
        <f t="shared" si="58"/>
        <v>0</v>
      </c>
      <c r="AC93" s="18" t="str">
        <f t="shared" si="71"/>
        <v/>
      </c>
      <c r="AD93" s="19">
        <f>IF(X93=1,MAX(0,MIN(Settings!$B$6-Z93,(IFERROR(VLOOKUP(V92,'Bucket Status'!$A$4:$B$75,2,FALSE()),0)-(SUMIF($U$5:$U92,V92,$AK$5:$AK92)+SUMIF($V$5:$V92,V92,$AL$5:$AL92)+SUMIF($Y$5:$Y92,V92,$AA$5:$AA92)+SUMIF($AC$5:$AC92,V92,$AE$5:$AE92))))),IF(AF92&gt;0,AF92,0))</f>
        <v>0</v>
      </c>
      <c r="AE93" s="19">
        <f t="shared" si="59"/>
        <v>0</v>
      </c>
      <c r="AF93" s="19">
        <f t="shared" si="60"/>
        <v>0</v>
      </c>
      <c r="AG93" s="20">
        <f>IFERROR(IF(C93="Y",Settings!$B$4+Settings!$B$5,0),0)</f>
        <v>0</v>
      </c>
      <c r="AH93" s="21" t="str">
        <f>IFERROR(IF(U93="","",IFERROR(VLOOKUP(U93,'Bucket Status'!$A$4:$B$75,2,FALSE()),0)-(SUMIF($U$5:$U92,U93,$AK$5:$AK92)+SUMIF($V$5:$V92,U93,$AL$5:$AL92)+SUMIF($Y$5:$Y92,U93,$AA$5:$AA92)+SUMIF($AC$5:$AC92,U93,$AE$5:$AE92))),"")</f>
        <v/>
      </c>
      <c r="AI93" s="22" t="str">
        <f>IFERROR(IF(V93="","",IFERROR(VLOOKUP(V93,'Bucket Status'!$A$4:$B$75,2,FALSE()),0)-(SUMIF($U$5:$U92,V93,$AK$5:$AK92)+SUMIF($V$5:$V92,V93,$AL$5:$AL92)+SUMIF($Y$5:$Y92,V93,$AA$5:$AA92)+SUMIF($AC$5:$AC92,V93,$AE$5:$AE92))),"")</f>
        <v/>
      </c>
      <c r="AJ93" s="23" t="str">
        <f t="shared" si="61"/>
        <v/>
      </c>
      <c r="AK93" s="21" t="str">
        <f t="shared" si="62"/>
        <v/>
      </c>
      <c r="AL93" s="22" t="str">
        <f t="shared" si="63"/>
        <v/>
      </c>
    </row>
    <row r="94" spans="1:38" ht="18" customHeight="1" x14ac:dyDescent="0.3">
      <c r="A94" s="3"/>
      <c r="B94" s="50"/>
      <c r="C94" s="4"/>
      <c r="D94" s="5"/>
      <c r="E94" s="5"/>
      <c r="F94" s="6"/>
      <c r="G94" s="6"/>
      <c r="H94" s="7"/>
      <c r="I94" s="8" t="str">
        <f t="shared" si="48"/>
        <v/>
      </c>
      <c r="J94" s="9" t="str">
        <f t="shared" si="49"/>
        <v/>
      </c>
      <c r="K94" s="10" t="str">
        <f t="shared" si="50"/>
        <v/>
      </c>
      <c r="L94" s="11" t="str">
        <f t="shared" si="51"/>
        <v/>
      </c>
      <c r="M94" s="12" t="str">
        <f t="shared" si="52"/>
        <v/>
      </c>
      <c r="N94" s="13" t="str">
        <f t="shared" si="53"/>
        <v/>
      </c>
      <c r="O94" s="14" t="str">
        <f t="shared" si="54"/>
        <v/>
      </c>
      <c r="P94" s="15"/>
      <c r="Q94" s="16" t="str">
        <f t="shared" si="64"/>
        <v/>
      </c>
      <c r="R94" s="16" t="str">
        <f t="shared" si="65"/>
        <v/>
      </c>
      <c r="S94" s="17" t="str">
        <f t="shared" si="66"/>
        <v/>
      </c>
      <c r="T94" s="17" t="str">
        <f t="shared" si="67"/>
        <v/>
      </c>
      <c r="U94" s="16" t="str">
        <f t="shared" si="55"/>
        <v/>
      </c>
      <c r="V94" s="17" t="str">
        <f t="shared" si="56"/>
        <v/>
      </c>
      <c r="W94" s="18">
        <f t="shared" si="68"/>
        <v>0</v>
      </c>
      <c r="X94" s="18">
        <f t="shared" si="69"/>
        <v>0</v>
      </c>
      <c r="Y94" s="18" t="str">
        <f t="shared" si="70"/>
        <v/>
      </c>
      <c r="Z94" s="19">
        <f>IF(W94=1,MAX(0,MIN(Settings!$B$6,(IFERROR(VLOOKUP(U93,'Bucket Status'!$A$4:$B$75,2,FALSE()),0)-(SUMIF($U$5:$U93,U93,$AK$5:$AK93)+SUMIF($V$5:$V93,U93,$AL$5:$AL93)+SUMIF($Y$5:$Y93,U93,$AA$5:$AA93)+SUMIF($AC$5:$AC93,U93,$AE$5:$AE93))))),IF(AB93&gt;0,AB93,0))</f>
        <v>0</v>
      </c>
      <c r="AA94" s="19">
        <f t="shared" si="57"/>
        <v>0</v>
      </c>
      <c r="AB94" s="19">
        <f t="shared" si="58"/>
        <v>0</v>
      </c>
      <c r="AC94" s="18" t="str">
        <f t="shared" si="71"/>
        <v/>
      </c>
      <c r="AD94" s="19">
        <f>IF(X94=1,MAX(0,MIN(Settings!$B$6-Z94,(IFERROR(VLOOKUP(V93,'Bucket Status'!$A$4:$B$75,2,FALSE()),0)-(SUMIF($U$5:$U93,V93,$AK$5:$AK93)+SUMIF($V$5:$V93,V93,$AL$5:$AL93)+SUMIF($Y$5:$Y93,V93,$AA$5:$AA93)+SUMIF($AC$5:$AC93,V93,$AE$5:$AE93))))),IF(AF93&gt;0,AF93,0))</f>
        <v>0</v>
      </c>
      <c r="AE94" s="19">
        <f t="shared" si="59"/>
        <v>0</v>
      </c>
      <c r="AF94" s="19">
        <f t="shared" si="60"/>
        <v>0</v>
      </c>
      <c r="AG94" s="20">
        <f>IFERROR(IF(C94="Y",Settings!$B$4+Settings!$B$5,0),0)</f>
        <v>0</v>
      </c>
      <c r="AH94" s="21" t="str">
        <f>IFERROR(IF(U94="","",IFERROR(VLOOKUP(U94,'Bucket Status'!$A$4:$B$75,2,FALSE()),0)-(SUMIF($U$5:$U93,U94,$AK$5:$AK93)+SUMIF($V$5:$V93,U94,$AL$5:$AL93)+SUMIF($Y$5:$Y93,U94,$AA$5:$AA93)+SUMIF($AC$5:$AC93,U94,$AE$5:$AE93))),"")</f>
        <v/>
      </c>
      <c r="AI94" s="22" t="str">
        <f>IFERROR(IF(V94="","",IFERROR(VLOOKUP(V94,'Bucket Status'!$A$4:$B$75,2,FALSE()),0)-(SUMIF($U$5:$U93,V94,$AK$5:$AK93)+SUMIF($V$5:$V93,V94,$AL$5:$AL93)+SUMIF($Y$5:$Y93,V94,$AA$5:$AA93)+SUMIF($AC$5:$AC93,V94,$AE$5:$AE93))),"")</f>
        <v/>
      </c>
      <c r="AJ94" s="23" t="str">
        <f t="shared" si="61"/>
        <v/>
      </c>
      <c r="AK94" s="21" t="str">
        <f t="shared" si="62"/>
        <v/>
      </c>
      <c r="AL94" s="22" t="str">
        <f t="shared" si="63"/>
        <v/>
      </c>
    </row>
    <row r="95" spans="1:38" ht="18" customHeight="1" x14ac:dyDescent="0.3">
      <c r="A95" s="3"/>
      <c r="B95" s="50"/>
      <c r="C95" s="4"/>
      <c r="D95" s="5"/>
      <c r="E95" s="5"/>
      <c r="F95" s="6"/>
      <c r="G95" s="6"/>
      <c r="H95" s="7"/>
      <c r="I95" s="8" t="str">
        <f t="shared" si="48"/>
        <v/>
      </c>
      <c r="J95" s="9" t="str">
        <f t="shared" si="49"/>
        <v/>
      </c>
      <c r="K95" s="10" t="str">
        <f t="shared" si="50"/>
        <v/>
      </c>
      <c r="L95" s="11" t="str">
        <f t="shared" si="51"/>
        <v/>
      </c>
      <c r="M95" s="12" t="str">
        <f t="shared" si="52"/>
        <v/>
      </c>
      <c r="N95" s="13" t="str">
        <f t="shared" si="53"/>
        <v/>
      </c>
      <c r="O95" s="14" t="str">
        <f t="shared" si="54"/>
        <v/>
      </c>
      <c r="P95" s="15"/>
      <c r="Q95" s="16" t="str">
        <f t="shared" si="64"/>
        <v/>
      </c>
      <c r="R95" s="16" t="str">
        <f t="shared" si="65"/>
        <v/>
      </c>
      <c r="S95" s="17" t="str">
        <f t="shared" si="66"/>
        <v/>
      </c>
      <c r="T95" s="17" t="str">
        <f t="shared" si="67"/>
        <v/>
      </c>
      <c r="U95" s="16" t="str">
        <f t="shared" si="55"/>
        <v/>
      </c>
      <c r="V95" s="17" t="str">
        <f t="shared" si="56"/>
        <v/>
      </c>
      <c r="W95" s="18">
        <f t="shared" si="68"/>
        <v>0</v>
      </c>
      <c r="X95" s="18">
        <f t="shared" si="69"/>
        <v>0</v>
      </c>
      <c r="Y95" s="18" t="str">
        <f t="shared" si="70"/>
        <v/>
      </c>
      <c r="Z95" s="19">
        <f>IF(W95=1,MAX(0,MIN(Settings!$B$6,(IFERROR(VLOOKUP(U94,'Bucket Status'!$A$4:$B$75,2,FALSE()),0)-(SUMIF($U$5:$U94,U94,$AK$5:$AK94)+SUMIF($V$5:$V94,U94,$AL$5:$AL94)+SUMIF($Y$5:$Y94,U94,$AA$5:$AA94)+SUMIF($AC$5:$AC94,U94,$AE$5:$AE94))))),IF(AB94&gt;0,AB94,0))</f>
        <v>0</v>
      </c>
      <c r="AA95" s="19">
        <f t="shared" si="57"/>
        <v>0</v>
      </c>
      <c r="AB95" s="19">
        <f t="shared" si="58"/>
        <v>0</v>
      </c>
      <c r="AC95" s="18" t="str">
        <f t="shared" si="71"/>
        <v/>
      </c>
      <c r="AD95" s="19">
        <f>IF(X95=1,MAX(0,MIN(Settings!$B$6-Z95,(IFERROR(VLOOKUP(V94,'Bucket Status'!$A$4:$B$75,2,FALSE()),0)-(SUMIF($U$5:$U94,V94,$AK$5:$AK94)+SUMIF($V$5:$V94,V94,$AL$5:$AL94)+SUMIF($Y$5:$Y94,V94,$AA$5:$AA94)+SUMIF($AC$5:$AC94,V94,$AE$5:$AE94))))),IF(AF94&gt;0,AF94,0))</f>
        <v>0</v>
      </c>
      <c r="AE95" s="19">
        <f t="shared" si="59"/>
        <v>0</v>
      </c>
      <c r="AF95" s="19">
        <f t="shared" si="60"/>
        <v>0</v>
      </c>
      <c r="AG95" s="20">
        <f>IFERROR(IF(C95="Y",Settings!$B$4+Settings!$B$5,0),0)</f>
        <v>0</v>
      </c>
      <c r="AH95" s="21" t="str">
        <f>IFERROR(IF(U95="","",IFERROR(VLOOKUP(U95,'Bucket Status'!$A$4:$B$75,2,FALSE()),0)-(SUMIF($U$5:$U94,U95,$AK$5:$AK94)+SUMIF($V$5:$V94,U95,$AL$5:$AL94)+SUMIF($Y$5:$Y94,U95,$AA$5:$AA94)+SUMIF($AC$5:$AC94,U95,$AE$5:$AE94))),"")</f>
        <v/>
      </c>
      <c r="AI95" s="22" t="str">
        <f>IFERROR(IF(V95="","",IFERROR(VLOOKUP(V95,'Bucket Status'!$A$4:$B$75,2,FALSE()),0)-(SUMIF($U$5:$U94,V95,$AK$5:$AK94)+SUMIF($V$5:$V94,V95,$AL$5:$AL94)+SUMIF($Y$5:$Y94,V95,$AA$5:$AA94)+SUMIF($AC$5:$AC94,V95,$AE$5:$AE94))),"")</f>
        <v/>
      </c>
      <c r="AJ95" s="23" t="str">
        <f t="shared" si="61"/>
        <v/>
      </c>
      <c r="AK95" s="21" t="str">
        <f t="shared" si="62"/>
        <v/>
      </c>
      <c r="AL95" s="22" t="str">
        <f t="shared" si="63"/>
        <v/>
      </c>
    </row>
    <row r="96" spans="1:38" ht="18" customHeight="1" x14ac:dyDescent="0.3">
      <c r="A96" s="3"/>
      <c r="B96" s="50"/>
      <c r="C96" s="4"/>
      <c r="D96" s="5"/>
      <c r="E96" s="5"/>
      <c r="F96" s="6"/>
      <c r="G96" s="6"/>
      <c r="H96" s="7"/>
      <c r="I96" s="8" t="str">
        <f t="shared" si="48"/>
        <v/>
      </c>
      <c r="J96" s="9" t="str">
        <f t="shared" si="49"/>
        <v/>
      </c>
      <c r="K96" s="10" t="str">
        <f t="shared" si="50"/>
        <v/>
      </c>
      <c r="L96" s="11" t="str">
        <f t="shared" si="51"/>
        <v/>
      </c>
      <c r="M96" s="12" t="str">
        <f t="shared" si="52"/>
        <v/>
      </c>
      <c r="N96" s="13" t="str">
        <f t="shared" si="53"/>
        <v/>
      </c>
      <c r="O96" s="14" t="str">
        <f t="shared" si="54"/>
        <v/>
      </c>
      <c r="P96" s="15"/>
      <c r="Q96" s="16" t="str">
        <f t="shared" si="64"/>
        <v/>
      </c>
      <c r="R96" s="16" t="str">
        <f t="shared" si="65"/>
        <v/>
      </c>
      <c r="S96" s="17" t="str">
        <f t="shared" si="66"/>
        <v/>
      </c>
      <c r="T96" s="17" t="str">
        <f t="shared" si="67"/>
        <v/>
      </c>
      <c r="U96" s="16" t="str">
        <f t="shared" si="55"/>
        <v/>
      </c>
      <c r="V96" s="17" t="str">
        <f t="shared" si="56"/>
        <v/>
      </c>
      <c r="W96" s="18">
        <f t="shared" si="68"/>
        <v>0</v>
      </c>
      <c r="X96" s="18">
        <f t="shared" si="69"/>
        <v>0</v>
      </c>
      <c r="Y96" s="18" t="str">
        <f t="shared" si="70"/>
        <v/>
      </c>
      <c r="Z96" s="19">
        <f>IF(W96=1,MAX(0,MIN(Settings!$B$6,(IFERROR(VLOOKUP(U95,'Bucket Status'!$A$4:$B$75,2,FALSE()),0)-(SUMIF($U$5:$U95,U95,$AK$5:$AK95)+SUMIF($V$5:$V95,U95,$AL$5:$AL95)+SUMIF($Y$5:$Y95,U95,$AA$5:$AA95)+SUMIF($AC$5:$AC95,U95,$AE$5:$AE95))))),IF(AB95&gt;0,AB95,0))</f>
        <v>0</v>
      </c>
      <c r="AA96" s="19">
        <f t="shared" si="57"/>
        <v>0</v>
      </c>
      <c r="AB96" s="19">
        <f t="shared" si="58"/>
        <v>0</v>
      </c>
      <c r="AC96" s="18" t="str">
        <f t="shared" si="71"/>
        <v/>
      </c>
      <c r="AD96" s="19">
        <f>IF(X96=1,MAX(0,MIN(Settings!$B$6-Z96,(IFERROR(VLOOKUP(V95,'Bucket Status'!$A$4:$B$75,2,FALSE()),0)-(SUMIF($U$5:$U95,V95,$AK$5:$AK95)+SUMIF($V$5:$V95,V95,$AL$5:$AL95)+SUMIF($Y$5:$Y95,V95,$AA$5:$AA95)+SUMIF($AC$5:$AC95,V95,$AE$5:$AE95))))),IF(AF95&gt;0,AF95,0))</f>
        <v>0</v>
      </c>
      <c r="AE96" s="19">
        <f t="shared" si="59"/>
        <v>0</v>
      </c>
      <c r="AF96" s="19">
        <f t="shared" si="60"/>
        <v>0</v>
      </c>
      <c r="AG96" s="20">
        <f>IFERROR(IF(C96="Y",Settings!$B$4+Settings!$B$5,0),0)</f>
        <v>0</v>
      </c>
      <c r="AH96" s="21" t="str">
        <f>IFERROR(IF(U96="","",IFERROR(VLOOKUP(U96,'Bucket Status'!$A$4:$B$75,2,FALSE()),0)-(SUMIF($U$5:$U95,U96,$AK$5:$AK95)+SUMIF($V$5:$V95,U96,$AL$5:$AL95)+SUMIF($Y$5:$Y95,U96,$AA$5:$AA95)+SUMIF($AC$5:$AC95,U96,$AE$5:$AE95))),"")</f>
        <v/>
      </c>
      <c r="AI96" s="22" t="str">
        <f>IFERROR(IF(V96="","",IFERROR(VLOOKUP(V96,'Bucket Status'!$A$4:$B$75,2,FALSE()),0)-(SUMIF($U$5:$U95,V96,$AK$5:$AK95)+SUMIF($V$5:$V95,V96,$AL$5:$AL95)+SUMIF($Y$5:$Y95,V96,$AA$5:$AA95)+SUMIF($AC$5:$AC95,V96,$AE$5:$AE95))),"")</f>
        <v/>
      </c>
      <c r="AJ96" s="23" t="str">
        <f t="shared" si="61"/>
        <v/>
      </c>
      <c r="AK96" s="21" t="str">
        <f t="shared" si="62"/>
        <v/>
      </c>
      <c r="AL96" s="22" t="str">
        <f t="shared" si="63"/>
        <v/>
      </c>
    </row>
    <row r="97" spans="1:38" ht="18" customHeight="1" x14ac:dyDescent="0.3">
      <c r="A97" s="3"/>
      <c r="B97" s="50"/>
      <c r="C97" s="4"/>
      <c r="D97" s="5"/>
      <c r="E97" s="5"/>
      <c r="F97" s="6"/>
      <c r="G97" s="6"/>
      <c r="H97" s="7"/>
      <c r="I97" s="8" t="str">
        <f t="shared" si="48"/>
        <v/>
      </c>
      <c r="J97" s="9" t="str">
        <f t="shared" si="49"/>
        <v/>
      </c>
      <c r="K97" s="10" t="str">
        <f t="shared" si="50"/>
        <v/>
      </c>
      <c r="L97" s="11" t="str">
        <f t="shared" si="51"/>
        <v/>
      </c>
      <c r="M97" s="12" t="str">
        <f t="shared" si="52"/>
        <v/>
      </c>
      <c r="N97" s="13" t="str">
        <f t="shared" si="53"/>
        <v/>
      </c>
      <c r="O97" s="14" t="str">
        <f t="shared" si="54"/>
        <v/>
      </c>
      <c r="P97" s="15"/>
      <c r="Q97" s="16" t="str">
        <f t="shared" si="64"/>
        <v/>
      </c>
      <c r="R97" s="16" t="str">
        <f t="shared" si="65"/>
        <v/>
      </c>
      <c r="S97" s="17" t="str">
        <f t="shared" si="66"/>
        <v/>
      </c>
      <c r="T97" s="17" t="str">
        <f t="shared" si="67"/>
        <v/>
      </c>
      <c r="U97" s="16" t="str">
        <f t="shared" si="55"/>
        <v/>
      </c>
      <c r="V97" s="17" t="str">
        <f t="shared" si="56"/>
        <v/>
      </c>
      <c r="W97" s="18">
        <f t="shared" si="68"/>
        <v>0</v>
      </c>
      <c r="X97" s="18">
        <f t="shared" si="69"/>
        <v>0</v>
      </c>
      <c r="Y97" s="18" t="str">
        <f t="shared" si="70"/>
        <v/>
      </c>
      <c r="Z97" s="19">
        <f>IF(W97=1,MAX(0,MIN(Settings!$B$6,(IFERROR(VLOOKUP(U96,'Bucket Status'!$A$4:$B$75,2,FALSE()),0)-(SUMIF($U$5:$U96,U96,$AK$5:$AK96)+SUMIF($V$5:$V96,U96,$AL$5:$AL96)+SUMIF($Y$5:$Y96,U96,$AA$5:$AA96)+SUMIF($AC$5:$AC96,U96,$AE$5:$AE96))))),IF(AB96&gt;0,AB96,0))</f>
        <v>0</v>
      </c>
      <c r="AA97" s="19">
        <f t="shared" si="57"/>
        <v>0</v>
      </c>
      <c r="AB97" s="19">
        <f t="shared" si="58"/>
        <v>0</v>
      </c>
      <c r="AC97" s="18" t="str">
        <f t="shared" si="71"/>
        <v/>
      </c>
      <c r="AD97" s="19">
        <f>IF(X97=1,MAX(0,MIN(Settings!$B$6-Z97,(IFERROR(VLOOKUP(V96,'Bucket Status'!$A$4:$B$75,2,FALSE()),0)-(SUMIF($U$5:$U96,V96,$AK$5:$AK96)+SUMIF($V$5:$V96,V96,$AL$5:$AL96)+SUMIF($Y$5:$Y96,V96,$AA$5:$AA96)+SUMIF($AC$5:$AC96,V96,$AE$5:$AE96))))),IF(AF96&gt;0,AF96,0))</f>
        <v>0</v>
      </c>
      <c r="AE97" s="19">
        <f t="shared" si="59"/>
        <v>0</v>
      </c>
      <c r="AF97" s="19">
        <f t="shared" si="60"/>
        <v>0</v>
      </c>
      <c r="AG97" s="20">
        <f>IFERROR(IF(C97="Y",Settings!$B$4+Settings!$B$5,0),0)</f>
        <v>0</v>
      </c>
      <c r="AH97" s="21" t="str">
        <f>IFERROR(IF(U97="","",IFERROR(VLOOKUP(U97,'Bucket Status'!$A$4:$B$75,2,FALSE()),0)-(SUMIF($U$5:$U96,U97,$AK$5:$AK96)+SUMIF($V$5:$V96,U97,$AL$5:$AL96)+SUMIF($Y$5:$Y96,U97,$AA$5:$AA96)+SUMIF($AC$5:$AC96,U97,$AE$5:$AE96))),"")</f>
        <v/>
      </c>
      <c r="AI97" s="22" t="str">
        <f>IFERROR(IF(V97="","",IFERROR(VLOOKUP(V97,'Bucket Status'!$A$4:$B$75,2,FALSE()),0)-(SUMIF($U$5:$U96,V97,$AK$5:$AK96)+SUMIF($V$5:$V96,V97,$AL$5:$AL96)+SUMIF($Y$5:$Y96,V97,$AA$5:$AA96)+SUMIF($AC$5:$AC96,V97,$AE$5:$AE96))),"")</f>
        <v/>
      </c>
      <c r="AJ97" s="23" t="str">
        <f t="shared" si="61"/>
        <v/>
      </c>
      <c r="AK97" s="21" t="str">
        <f t="shared" si="62"/>
        <v/>
      </c>
      <c r="AL97" s="22" t="str">
        <f t="shared" si="63"/>
        <v/>
      </c>
    </row>
    <row r="98" spans="1:38" ht="18" customHeight="1" x14ac:dyDescent="0.3">
      <c r="A98" s="3"/>
      <c r="B98" s="50"/>
      <c r="C98" s="4"/>
      <c r="D98" s="5"/>
      <c r="E98" s="5"/>
      <c r="F98" s="6"/>
      <c r="G98" s="6"/>
      <c r="H98" s="7"/>
      <c r="I98" s="8" t="str">
        <f t="shared" si="48"/>
        <v/>
      </c>
      <c r="J98" s="9" t="str">
        <f t="shared" si="49"/>
        <v/>
      </c>
      <c r="K98" s="10" t="str">
        <f t="shared" si="50"/>
        <v/>
      </c>
      <c r="L98" s="11" t="str">
        <f t="shared" si="51"/>
        <v/>
      </c>
      <c r="M98" s="12" t="str">
        <f t="shared" si="52"/>
        <v/>
      </c>
      <c r="N98" s="13" t="str">
        <f t="shared" si="53"/>
        <v/>
      </c>
      <c r="O98" s="14" t="str">
        <f t="shared" si="54"/>
        <v/>
      </c>
      <c r="P98" s="15"/>
      <c r="Q98" s="16" t="str">
        <f t="shared" si="64"/>
        <v/>
      </c>
      <c r="R98" s="16" t="str">
        <f t="shared" si="65"/>
        <v/>
      </c>
      <c r="S98" s="17" t="str">
        <f t="shared" si="66"/>
        <v/>
      </c>
      <c r="T98" s="17" t="str">
        <f t="shared" si="67"/>
        <v/>
      </c>
      <c r="U98" s="16" t="str">
        <f t="shared" si="55"/>
        <v/>
      </c>
      <c r="V98" s="17" t="str">
        <f t="shared" si="56"/>
        <v/>
      </c>
      <c r="W98" s="18">
        <f t="shared" si="68"/>
        <v>0</v>
      </c>
      <c r="X98" s="18">
        <f t="shared" si="69"/>
        <v>0</v>
      </c>
      <c r="Y98" s="18" t="str">
        <f t="shared" si="70"/>
        <v/>
      </c>
      <c r="Z98" s="19">
        <f>IF(W98=1,MAX(0,MIN(Settings!$B$6,(IFERROR(VLOOKUP(U97,'Bucket Status'!$A$4:$B$75,2,FALSE()),0)-(SUMIF($U$5:$U97,U97,$AK$5:$AK97)+SUMIF($V$5:$V97,U97,$AL$5:$AL97)+SUMIF($Y$5:$Y97,U97,$AA$5:$AA97)+SUMIF($AC$5:$AC97,U97,$AE$5:$AE97))))),IF(AB97&gt;0,AB97,0))</f>
        <v>0</v>
      </c>
      <c r="AA98" s="19">
        <f t="shared" si="57"/>
        <v>0</v>
      </c>
      <c r="AB98" s="19">
        <f t="shared" si="58"/>
        <v>0</v>
      </c>
      <c r="AC98" s="18" t="str">
        <f t="shared" si="71"/>
        <v/>
      </c>
      <c r="AD98" s="19">
        <f>IF(X98=1,MAX(0,MIN(Settings!$B$6-Z98,(IFERROR(VLOOKUP(V97,'Bucket Status'!$A$4:$B$75,2,FALSE()),0)-(SUMIF($U$5:$U97,V97,$AK$5:$AK97)+SUMIF($V$5:$V97,V97,$AL$5:$AL97)+SUMIF($Y$5:$Y97,V97,$AA$5:$AA97)+SUMIF($AC$5:$AC97,V97,$AE$5:$AE97))))),IF(AF97&gt;0,AF97,0))</f>
        <v>0</v>
      </c>
      <c r="AE98" s="19">
        <f t="shared" si="59"/>
        <v>0</v>
      </c>
      <c r="AF98" s="19">
        <f t="shared" si="60"/>
        <v>0</v>
      </c>
      <c r="AG98" s="20">
        <f>IFERROR(IF(C98="Y",Settings!$B$4+Settings!$B$5,0),0)</f>
        <v>0</v>
      </c>
      <c r="AH98" s="21" t="str">
        <f>IFERROR(IF(U98="","",IFERROR(VLOOKUP(U98,'Bucket Status'!$A$4:$B$75,2,FALSE()),0)-(SUMIF($U$5:$U97,U98,$AK$5:$AK97)+SUMIF($V$5:$V97,U98,$AL$5:$AL97)+SUMIF($Y$5:$Y97,U98,$AA$5:$AA97)+SUMIF($AC$5:$AC97,U98,$AE$5:$AE97))),"")</f>
        <v/>
      </c>
      <c r="AI98" s="22" t="str">
        <f>IFERROR(IF(V98="","",IFERROR(VLOOKUP(V98,'Bucket Status'!$A$4:$B$75,2,FALSE()),0)-(SUMIF($U$5:$U97,V98,$AK$5:$AK97)+SUMIF($V$5:$V97,V98,$AL$5:$AL97)+SUMIF($Y$5:$Y97,V98,$AA$5:$AA97)+SUMIF($AC$5:$AC97,V98,$AE$5:$AE97))),"")</f>
        <v/>
      </c>
      <c r="AJ98" s="23" t="str">
        <f t="shared" si="61"/>
        <v/>
      </c>
      <c r="AK98" s="21" t="str">
        <f t="shared" si="62"/>
        <v/>
      </c>
      <c r="AL98" s="22" t="str">
        <f t="shared" si="63"/>
        <v/>
      </c>
    </row>
    <row r="99" spans="1:38" ht="18" customHeight="1" x14ac:dyDescent="0.3">
      <c r="A99" s="3"/>
      <c r="B99" s="50"/>
      <c r="C99" s="4"/>
      <c r="D99" s="5"/>
      <c r="E99" s="5"/>
      <c r="F99" s="6"/>
      <c r="G99" s="6"/>
      <c r="H99" s="7"/>
      <c r="I99" s="8" t="str">
        <f t="shared" si="48"/>
        <v/>
      </c>
      <c r="J99" s="9" t="str">
        <f t="shared" si="49"/>
        <v/>
      </c>
      <c r="K99" s="10" t="str">
        <f t="shared" si="50"/>
        <v/>
      </c>
      <c r="L99" s="11" t="str">
        <f t="shared" si="51"/>
        <v/>
      </c>
      <c r="M99" s="12" t="str">
        <f t="shared" si="52"/>
        <v/>
      </c>
      <c r="N99" s="13" t="str">
        <f t="shared" si="53"/>
        <v/>
      </c>
      <c r="O99" s="14" t="str">
        <f t="shared" si="54"/>
        <v/>
      </c>
      <c r="P99" s="15"/>
      <c r="Q99" s="16" t="str">
        <f t="shared" si="64"/>
        <v/>
      </c>
      <c r="R99" s="16" t="str">
        <f t="shared" si="65"/>
        <v/>
      </c>
      <c r="S99" s="17" t="str">
        <f t="shared" si="66"/>
        <v/>
      </c>
      <c r="T99" s="17" t="str">
        <f t="shared" si="67"/>
        <v/>
      </c>
      <c r="U99" s="16" t="str">
        <f t="shared" si="55"/>
        <v/>
      </c>
      <c r="V99" s="17" t="str">
        <f t="shared" si="56"/>
        <v/>
      </c>
      <c r="W99" s="18">
        <f t="shared" si="68"/>
        <v>0</v>
      </c>
      <c r="X99" s="18">
        <f t="shared" si="69"/>
        <v>0</v>
      </c>
      <c r="Y99" s="18" t="str">
        <f t="shared" si="70"/>
        <v/>
      </c>
      <c r="Z99" s="19">
        <f>IF(W99=1,MAX(0,MIN(Settings!$B$6,(IFERROR(VLOOKUP(U98,'Bucket Status'!$A$4:$B$75,2,FALSE()),0)-(SUMIF($U$5:$U98,U98,$AK$5:$AK98)+SUMIF($V$5:$V98,U98,$AL$5:$AL98)+SUMIF($Y$5:$Y98,U98,$AA$5:$AA98)+SUMIF($AC$5:$AC98,U98,$AE$5:$AE98))))),IF(AB98&gt;0,AB98,0))</f>
        <v>0</v>
      </c>
      <c r="AA99" s="19">
        <f t="shared" si="57"/>
        <v>0</v>
      </c>
      <c r="AB99" s="19">
        <f t="shared" si="58"/>
        <v>0</v>
      </c>
      <c r="AC99" s="18" t="str">
        <f t="shared" si="71"/>
        <v/>
      </c>
      <c r="AD99" s="19">
        <f>IF(X99=1,MAX(0,MIN(Settings!$B$6-Z99,(IFERROR(VLOOKUP(V98,'Bucket Status'!$A$4:$B$75,2,FALSE()),0)-(SUMIF($U$5:$U98,V98,$AK$5:$AK98)+SUMIF($V$5:$V98,V98,$AL$5:$AL98)+SUMIF($Y$5:$Y98,V98,$AA$5:$AA98)+SUMIF($AC$5:$AC98,V98,$AE$5:$AE98))))),IF(AF98&gt;0,AF98,0))</f>
        <v>0</v>
      </c>
      <c r="AE99" s="19">
        <f t="shared" si="59"/>
        <v>0</v>
      </c>
      <c r="AF99" s="19">
        <f t="shared" si="60"/>
        <v>0</v>
      </c>
      <c r="AG99" s="20">
        <f>IFERROR(IF(C99="Y",Settings!$B$4+Settings!$B$5,0),0)</f>
        <v>0</v>
      </c>
      <c r="AH99" s="21" t="str">
        <f>IFERROR(IF(U99="","",IFERROR(VLOOKUP(U99,'Bucket Status'!$A$4:$B$75,2,FALSE()),0)-(SUMIF($U$5:$U98,U99,$AK$5:$AK98)+SUMIF($V$5:$V98,U99,$AL$5:$AL98)+SUMIF($Y$5:$Y98,U99,$AA$5:$AA98)+SUMIF($AC$5:$AC98,U99,$AE$5:$AE98))),"")</f>
        <v/>
      </c>
      <c r="AI99" s="22" t="str">
        <f>IFERROR(IF(V99="","",IFERROR(VLOOKUP(V99,'Bucket Status'!$A$4:$B$75,2,FALSE()),0)-(SUMIF($U$5:$U98,V99,$AK$5:$AK98)+SUMIF($V$5:$V98,V99,$AL$5:$AL98)+SUMIF($Y$5:$Y98,V99,$AA$5:$AA98)+SUMIF($AC$5:$AC98,V99,$AE$5:$AE98))),"")</f>
        <v/>
      </c>
      <c r="AJ99" s="23" t="str">
        <f t="shared" si="61"/>
        <v/>
      </c>
      <c r="AK99" s="21" t="str">
        <f t="shared" si="62"/>
        <v/>
      </c>
      <c r="AL99" s="22" t="str">
        <f t="shared" si="63"/>
        <v/>
      </c>
    </row>
    <row r="100" spans="1:38" ht="18" customHeight="1" x14ac:dyDescent="0.3">
      <c r="A100" s="3"/>
      <c r="B100" s="50"/>
      <c r="C100" s="4"/>
      <c r="D100" s="5"/>
      <c r="E100" s="5"/>
      <c r="F100" s="6"/>
      <c r="G100" s="6"/>
      <c r="H100" s="7"/>
      <c r="I100" s="8" t="str">
        <f t="shared" si="48"/>
        <v/>
      </c>
      <c r="J100" s="9" t="str">
        <f t="shared" si="49"/>
        <v/>
      </c>
      <c r="K100" s="10" t="str">
        <f t="shared" si="50"/>
        <v/>
      </c>
      <c r="L100" s="11" t="str">
        <f t="shared" si="51"/>
        <v/>
      </c>
      <c r="M100" s="12" t="str">
        <f t="shared" si="52"/>
        <v/>
      </c>
      <c r="N100" s="13" t="str">
        <f t="shared" si="53"/>
        <v/>
      </c>
      <c r="O100" s="14" t="str">
        <f t="shared" si="54"/>
        <v/>
      </c>
      <c r="P100" s="15"/>
      <c r="Q100" s="16" t="str">
        <f t="shared" si="64"/>
        <v/>
      </c>
      <c r="R100" s="16" t="str">
        <f t="shared" si="65"/>
        <v/>
      </c>
      <c r="S100" s="17" t="str">
        <f t="shared" si="66"/>
        <v/>
      </c>
      <c r="T100" s="17" t="str">
        <f t="shared" si="67"/>
        <v/>
      </c>
      <c r="U100" s="16" t="str">
        <f t="shared" si="55"/>
        <v/>
      </c>
      <c r="V100" s="17" t="str">
        <f t="shared" si="56"/>
        <v/>
      </c>
      <c r="W100" s="18">
        <f t="shared" si="68"/>
        <v>0</v>
      </c>
      <c r="X100" s="18">
        <f t="shared" si="69"/>
        <v>0</v>
      </c>
      <c r="Y100" s="18" t="str">
        <f t="shared" si="70"/>
        <v/>
      </c>
      <c r="Z100" s="19">
        <f>IF(W100=1,MAX(0,MIN(Settings!$B$6,(IFERROR(VLOOKUP(U99,'Bucket Status'!$A$4:$B$75,2,FALSE()),0)-(SUMIF($U$5:$U99,U99,$AK$5:$AK99)+SUMIF($V$5:$V99,U99,$AL$5:$AL99)+SUMIF($Y$5:$Y99,U99,$AA$5:$AA99)+SUMIF($AC$5:$AC99,U99,$AE$5:$AE99))))),IF(AB99&gt;0,AB99,0))</f>
        <v>0</v>
      </c>
      <c r="AA100" s="19">
        <f t="shared" si="57"/>
        <v>0</v>
      </c>
      <c r="AB100" s="19">
        <f t="shared" si="58"/>
        <v>0</v>
      </c>
      <c r="AC100" s="18" t="str">
        <f t="shared" si="71"/>
        <v/>
      </c>
      <c r="AD100" s="19">
        <f>IF(X100=1,MAX(0,MIN(Settings!$B$6-Z100,(IFERROR(VLOOKUP(V99,'Bucket Status'!$A$4:$B$75,2,FALSE()),0)-(SUMIF($U$5:$U99,V99,$AK$5:$AK99)+SUMIF($V$5:$V99,V99,$AL$5:$AL99)+SUMIF($Y$5:$Y99,V99,$AA$5:$AA99)+SUMIF($AC$5:$AC99,V99,$AE$5:$AE99))))),IF(AF99&gt;0,AF99,0))</f>
        <v>0</v>
      </c>
      <c r="AE100" s="19">
        <f t="shared" si="59"/>
        <v>0</v>
      </c>
      <c r="AF100" s="19">
        <f t="shared" si="60"/>
        <v>0</v>
      </c>
      <c r="AG100" s="20">
        <f>IFERROR(IF(C100="Y",Settings!$B$4+Settings!$B$5,0),0)</f>
        <v>0</v>
      </c>
      <c r="AH100" s="21" t="str">
        <f>IFERROR(IF(U100="","",IFERROR(VLOOKUP(U100,'Bucket Status'!$A$4:$B$75,2,FALSE()),0)-(SUMIF($U$5:$U99,U100,$AK$5:$AK99)+SUMIF($V$5:$V99,U100,$AL$5:$AL99)+SUMIF($Y$5:$Y99,U100,$AA$5:$AA99)+SUMIF($AC$5:$AC99,U100,$AE$5:$AE99))),"")</f>
        <v/>
      </c>
      <c r="AI100" s="22" t="str">
        <f>IFERROR(IF(V100="","",IFERROR(VLOOKUP(V100,'Bucket Status'!$A$4:$B$75,2,FALSE()),0)-(SUMIF($U$5:$U99,V100,$AK$5:$AK99)+SUMIF($V$5:$V99,V100,$AL$5:$AL99)+SUMIF($Y$5:$Y99,V100,$AA$5:$AA99)+SUMIF($AC$5:$AC99,V100,$AE$5:$AE99))),"")</f>
        <v/>
      </c>
      <c r="AJ100" s="23" t="str">
        <f t="shared" si="61"/>
        <v/>
      </c>
      <c r="AK100" s="21" t="str">
        <f t="shared" si="62"/>
        <v/>
      </c>
      <c r="AL100" s="22" t="str">
        <f t="shared" si="63"/>
        <v/>
      </c>
    </row>
    <row r="101" spans="1:38" ht="18" customHeight="1" x14ac:dyDescent="0.3">
      <c r="A101" s="3"/>
      <c r="B101" s="50"/>
      <c r="C101" s="4"/>
      <c r="D101" s="5"/>
      <c r="E101" s="5"/>
      <c r="F101" s="6"/>
      <c r="G101" s="6"/>
      <c r="H101" s="7"/>
      <c r="I101" s="8" t="str">
        <f t="shared" ref="I101:I104" si="72">IFERROR(IF(H101="","",H101+AG101),"")</f>
        <v/>
      </c>
      <c r="J101" s="9" t="str">
        <f t="shared" ref="J101:J104" si="73">IFERROR(IF(OR(I101="",AJ101=""),"",AJ101-(AK101+AL101)),"")</f>
        <v/>
      </c>
      <c r="K101" s="10" t="str">
        <f t="shared" si="50"/>
        <v/>
      </c>
      <c r="L101" s="11" t="str">
        <f t="shared" si="51"/>
        <v/>
      </c>
      <c r="M101" s="12" t="str">
        <f t="shared" si="52"/>
        <v/>
      </c>
      <c r="N101" s="13" t="str">
        <f t="shared" si="53"/>
        <v/>
      </c>
      <c r="O101" s="14" t="str">
        <f t="shared" si="54"/>
        <v/>
      </c>
      <c r="P101" s="15"/>
      <c r="Q101" s="16" t="str">
        <f t="shared" si="64"/>
        <v/>
      </c>
      <c r="R101" s="16" t="str">
        <f t="shared" si="65"/>
        <v/>
      </c>
      <c r="S101" s="17" t="str">
        <f t="shared" si="66"/>
        <v/>
      </c>
      <c r="T101" s="17" t="str">
        <f t="shared" si="67"/>
        <v/>
      </c>
      <c r="U101" s="16" t="str">
        <f t="shared" si="55"/>
        <v/>
      </c>
      <c r="V101" s="17" t="str">
        <f t="shared" si="56"/>
        <v/>
      </c>
      <c r="W101" s="18">
        <f t="shared" si="68"/>
        <v>0</v>
      </c>
      <c r="X101" s="18">
        <f t="shared" si="69"/>
        <v>0</v>
      </c>
      <c r="Y101" s="18" t="str">
        <f t="shared" si="70"/>
        <v/>
      </c>
      <c r="Z101" s="19">
        <f>IF(W101=1,MAX(0,MIN(Settings!$B$6,(IFERROR(VLOOKUP(U100,'Bucket Status'!$A$4:$B$75,2,FALSE()),0)-(SUMIF($U$5:$U100,U100,$AK$5:$AK100)+SUMIF($V$5:$V100,U100,$AL$5:$AL100)+SUMIF($Y$5:$Y100,U100,$AA$5:$AA100)+SUMIF($AC$5:$AC100,U100,$AE$5:$AE100))))),IF(AB100&gt;0,AB100,0))</f>
        <v>0</v>
      </c>
      <c r="AA101" s="19">
        <f t="shared" ref="AA101:AA104" si="74">IFERROR(IF(I101="",0,MAX(0,MIN(Z101,I101))),0)</f>
        <v>0</v>
      </c>
      <c r="AB101" s="19">
        <f t="shared" ref="AB101:AB104" si="75">IFERROR(Z101-AA101,0)</f>
        <v>0</v>
      </c>
      <c r="AC101" s="18" t="str">
        <f t="shared" si="71"/>
        <v/>
      </c>
      <c r="AD101" s="19">
        <f>IF(X101=1,MAX(0,MIN(Settings!$B$6-Z101,(IFERROR(VLOOKUP(V100,'Bucket Status'!$A$4:$B$75,2,FALSE()),0)-(SUMIF($U$5:$U100,V100,$AK$5:$AK100)+SUMIF($V$5:$V100,V100,$AL$5:$AL100)+SUMIF($Y$5:$Y100,V100,$AA$5:$AA100)+SUMIF($AC$5:$AC100,V100,$AE$5:$AE100))))),IF(AF100&gt;0,AF100,0))</f>
        <v>0</v>
      </c>
      <c r="AE101" s="19">
        <f t="shared" ref="AE101:AE104" si="76">IFERROR(IF(I101="",0,MAX(0,MIN(AD101,I101-AA101))),0)</f>
        <v>0</v>
      </c>
      <c r="AF101" s="19">
        <f t="shared" ref="AF101:AF104" si="77">IFERROR(AD101-AE101,0)</f>
        <v>0</v>
      </c>
      <c r="AG101" s="20">
        <f>IFERROR(IF(C101="Y",Settings!$B$4+Settings!$B$5,0),0)</f>
        <v>0</v>
      </c>
      <c r="AH101" s="21" t="str">
        <f>IFERROR(IF(U101="","",IFERROR(VLOOKUP(U101,'Bucket Status'!$A$4:$B$75,2,FALSE()),0)-(SUMIF($U$5:$U100,U101,$AK$5:$AK100)+SUMIF($V$5:$V100,U101,$AL$5:$AL100)+SUMIF($Y$5:$Y100,U101,$AA$5:$AA100)+SUMIF($AC$5:$AC100,U101,$AE$5:$AE100))),"")</f>
        <v/>
      </c>
      <c r="AI101" s="22" t="str">
        <f>IFERROR(IF(V101="","",IFERROR(VLOOKUP(V101,'Bucket Status'!$A$4:$B$75,2,FALSE()),0)-(SUMIF($U$5:$U100,V101,$AK$5:$AK100)+SUMIF($V$5:$V100,V101,$AL$5:$AL100)+SUMIF($Y$5:$Y100,V101,$AA$5:$AA100)+SUMIF($AC$5:$AC100,V101,$AE$5:$AE100))),"")</f>
        <v/>
      </c>
      <c r="AJ101" s="23" t="str">
        <f t="shared" ref="AJ101:AJ104" si="78">IFERROR(IF(AH101="","",AH101+IF(AI101="",0,AI101)),"")</f>
        <v/>
      </c>
      <c r="AK101" s="21" t="str">
        <f t="shared" si="62"/>
        <v/>
      </c>
      <c r="AL101" s="22" t="str">
        <f t="shared" ref="AL101:AL104" si="79">IFERROR(IF(I101="","",IF(V101="",0,MAX(0,(I101-AA101-AE101)-AK101))),"")</f>
        <v/>
      </c>
    </row>
    <row r="102" spans="1:38" ht="18" customHeight="1" x14ac:dyDescent="0.3">
      <c r="A102" s="3"/>
      <c r="B102" s="50"/>
      <c r="C102" s="4"/>
      <c r="D102" s="5"/>
      <c r="E102" s="5"/>
      <c r="F102" s="6"/>
      <c r="G102" s="6"/>
      <c r="H102" s="7"/>
      <c r="I102" s="8" t="str">
        <f t="shared" si="72"/>
        <v/>
      </c>
      <c r="J102" s="9" t="str">
        <f t="shared" si="73"/>
        <v/>
      </c>
      <c r="K102" s="10" t="str">
        <f t="shared" si="50"/>
        <v/>
      </c>
      <c r="L102" s="11" t="str">
        <f t="shared" si="51"/>
        <v/>
      </c>
      <c r="M102" s="12" t="str">
        <f t="shared" si="52"/>
        <v/>
      </c>
      <c r="N102" s="13" t="str">
        <f t="shared" si="53"/>
        <v/>
      </c>
      <c r="O102" s="14" t="str">
        <f t="shared" si="54"/>
        <v/>
      </c>
      <c r="P102" s="15"/>
      <c r="Q102" s="16" t="str">
        <f t="shared" si="64"/>
        <v/>
      </c>
      <c r="R102" s="16" t="str">
        <f t="shared" si="65"/>
        <v/>
      </c>
      <c r="S102" s="17" t="str">
        <f t="shared" si="66"/>
        <v/>
      </c>
      <c r="T102" s="17" t="str">
        <f t="shared" si="67"/>
        <v/>
      </c>
      <c r="U102" s="16" t="str">
        <f t="shared" si="55"/>
        <v/>
      </c>
      <c r="V102" s="17" t="str">
        <f t="shared" si="56"/>
        <v/>
      </c>
      <c r="W102" s="18">
        <f t="shared" si="68"/>
        <v>0</v>
      </c>
      <c r="X102" s="18">
        <f t="shared" si="69"/>
        <v>0</v>
      </c>
      <c r="Y102" s="18" t="str">
        <f t="shared" si="70"/>
        <v/>
      </c>
      <c r="Z102" s="19">
        <f>IF(W102=1,MAX(0,MIN(Settings!$B$6,(IFERROR(VLOOKUP(U101,'Bucket Status'!$A$4:$B$75,2,FALSE()),0)-(SUMIF($U$5:$U101,U101,$AK$5:$AK101)+SUMIF($V$5:$V101,U101,$AL$5:$AL101)+SUMIF($Y$5:$Y101,U101,$AA$5:$AA101)+SUMIF($AC$5:$AC101,U101,$AE$5:$AE101))))),IF(AB101&gt;0,AB101,0))</f>
        <v>0</v>
      </c>
      <c r="AA102" s="19">
        <f t="shared" si="74"/>
        <v>0</v>
      </c>
      <c r="AB102" s="19">
        <f t="shared" si="75"/>
        <v>0</v>
      </c>
      <c r="AC102" s="18" t="str">
        <f t="shared" si="71"/>
        <v/>
      </c>
      <c r="AD102" s="19">
        <f>IF(X102=1,MAX(0,MIN(Settings!$B$6-Z102,(IFERROR(VLOOKUP(V101,'Bucket Status'!$A$4:$B$75,2,FALSE()),0)-(SUMIF($U$5:$U101,V101,$AK$5:$AK101)+SUMIF($V$5:$V101,V101,$AL$5:$AL101)+SUMIF($Y$5:$Y101,V101,$AA$5:$AA101)+SUMIF($AC$5:$AC101,V101,$AE$5:$AE101))))),IF(AF101&gt;0,AF101,0))</f>
        <v>0</v>
      </c>
      <c r="AE102" s="19">
        <f t="shared" si="76"/>
        <v>0</v>
      </c>
      <c r="AF102" s="19">
        <f t="shared" si="77"/>
        <v>0</v>
      </c>
      <c r="AG102" s="20">
        <f>IFERROR(IF(C102="Y",Settings!$B$4+Settings!$B$5,0),0)</f>
        <v>0</v>
      </c>
      <c r="AH102" s="21" t="str">
        <f>IFERROR(IF(U102="","",IFERROR(VLOOKUP(U102,'Bucket Status'!$A$4:$B$75,2,FALSE()),0)-(SUMIF($U$5:$U101,U102,$AK$5:$AK101)+SUMIF($V$5:$V101,U102,$AL$5:$AL101)+SUMIF($Y$5:$Y101,U102,$AA$5:$AA101)+SUMIF($AC$5:$AC101,U102,$AE$5:$AE101))),"")</f>
        <v/>
      </c>
      <c r="AI102" s="22" t="str">
        <f>IFERROR(IF(V102="","",IFERROR(VLOOKUP(V102,'Bucket Status'!$A$4:$B$75,2,FALSE()),0)-(SUMIF($U$5:$U101,V102,$AK$5:$AK101)+SUMIF($V$5:$V101,V102,$AL$5:$AL101)+SUMIF($Y$5:$Y101,V102,$AA$5:$AA101)+SUMIF($AC$5:$AC101,V102,$AE$5:$AE101))),"")</f>
        <v/>
      </c>
      <c r="AJ102" s="23" t="str">
        <f t="shared" si="78"/>
        <v/>
      </c>
      <c r="AK102" s="21" t="str">
        <f t="shared" si="62"/>
        <v/>
      </c>
      <c r="AL102" s="22" t="str">
        <f t="shared" si="79"/>
        <v/>
      </c>
    </row>
    <row r="103" spans="1:38" ht="18" customHeight="1" x14ac:dyDescent="0.3">
      <c r="A103" s="3"/>
      <c r="B103" s="50"/>
      <c r="C103" s="4"/>
      <c r="D103" s="5"/>
      <c r="E103" s="5"/>
      <c r="F103" s="6"/>
      <c r="G103" s="6"/>
      <c r="H103" s="7"/>
      <c r="I103" s="8" t="str">
        <f t="shared" si="72"/>
        <v/>
      </c>
      <c r="J103" s="9" t="str">
        <f t="shared" si="73"/>
        <v/>
      </c>
      <c r="K103" s="10" t="str">
        <f t="shared" si="50"/>
        <v/>
      </c>
      <c r="L103" s="11" t="str">
        <f t="shared" si="51"/>
        <v/>
      </c>
      <c r="M103" s="12" t="str">
        <f t="shared" si="52"/>
        <v/>
      </c>
      <c r="N103" s="13" t="str">
        <f t="shared" si="53"/>
        <v/>
      </c>
      <c r="O103" s="14" t="str">
        <f t="shared" si="54"/>
        <v/>
      </c>
      <c r="P103" s="15"/>
      <c r="Q103" s="16" t="str">
        <f t="shared" si="64"/>
        <v/>
      </c>
      <c r="R103" s="16" t="str">
        <f t="shared" si="65"/>
        <v/>
      </c>
      <c r="S103" s="17" t="str">
        <f t="shared" si="66"/>
        <v/>
      </c>
      <c r="T103" s="17" t="str">
        <f t="shared" si="67"/>
        <v/>
      </c>
      <c r="U103" s="16" t="str">
        <f t="shared" si="55"/>
        <v/>
      </c>
      <c r="V103" s="17" t="str">
        <f t="shared" si="56"/>
        <v/>
      </c>
      <c r="W103" s="18">
        <f t="shared" si="68"/>
        <v>0</v>
      </c>
      <c r="X103" s="18">
        <f t="shared" si="69"/>
        <v>0</v>
      </c>
      <c r="Y103" s="18" t="str">
        <f t="shared" si="70"/>
        <v/>
      </c>
      <c r="Z103" s="19">
        <f>IF(W103=1,MAX(0,MIN(Settings!$B$6,(IFERROR(VLOOKUP(U102,'Bucket Status'!$A$4:$B$75,2,FALSE()),0)-(SUMIF($U$5:$U102,U102,$AK$5:$AK102)+SUMIF($V$5:$V102,U102,$AL$5:$AL102)+SUMIF($Y$5:$Y102,U102,$AA$5:$AA102)+SUMIF($AC$5:$AC102,U102,$AE$5:$AE102))))),IF(AB102&gt;0,AB102,0))</f>
        <v>0</v>
      </c>
      <c r="AA103" s="19">
        <f t="shared" si="74"/>
        <v>0</v>
      </c>
      <c r="AB103" s="19">
        <f t="shared" si="75"/>
        <v>0</v>
      </c>
      <c r="AC103" s="18" t="str">
        <f t="shared" si="71"/>
        <v/>
      </c>
      <c r="AD103" s="19">
        <f>IF(X103=1,MAX(0,MIN(Settings!$B$6-Z103,(IFERROR(VLOOKUP(V102,'Bucket Status'!$A$4:$B$75,2,FALSE()),0)-(SUMIF($U$5:$U102,V102,$AK$5:$AK102)+SUMIF($V$5:$V102,V102,$AL$5:$AL102)+SUMIF($Y$5:$Y102,V102,$AA$5:$AA102)+SUMIF($AC$5:$AC102,V102,$AE$5:$AE102))))),IF(AF102&gt;0,AF102,0))</f>
        <v>0</v>
      </c>
      <c r="AE103" s="19">
        <f t="shared" si="76"/>
        <v>0</v>
      </c>
      <c r="AF103" s="19">
        <f t="shared" si="77"/>
        <v>0</v>
      </c>
      <c r="AG103" s="20">
        <f>IFERROR(IF(C103="Y",Settings!$B$4+Settings!$B$5,0),0)</f>
        <v>0</v>
      </c>
      <c r="AH103" s="21" t="str">
        <f>IFERROR(IF(U103="","",IFERROR(VLOOKUP(U103,'Bucket Status'!$A$4:$B$75,2,FALSE()),0)-(SUMIF($U$5:$U102,U103,$AK$5:$AK102)+SUMIF($V$5:$V102,U103,$AL$5:$AL102)+SUMIF($Y$5:$Y102,U103,$AA$5:$AA102)+SUMIF($AC$5:$AC102,U103,$AE$5:$AE102))),"")</f>
        <v/>
      </c>
      <c r="AI103" s="22" t="str">
        <f>IFERROR(IF(V103="","",IFERROR(VLOOKUP(V103,'Bucket Status'!$A$4:$B$75,2,FALSE()),0)-(SUMIF($U$5:$U102,V103,$AK$5:$AK102)+SUMIF($V$5:$V102,V103,$AL$5:$AL102)+SUMIF($Y$5:$Y102,V103,$AA$5:$AA102)+SUMIF($AC$5:$AC102,V103,$AE$5:$AE102))),"")</f>
        <v/>
      </c>
      <c r="AJ103" s="23" t="str">
        <f t="shared" si="78"/>
        <v/>
      </c>
      <c r="AK103" s="21" t="str">
        <f t="shared" si="62"/>
        <v/>
      </c>
      <c r="AL103" s="22" t="str">
        <f t="shared" si="79"/>
        <v/>
      </c>
    </row>
    <row r="104" spans="1:38" ht="18" customHeight="1" x14ac:dyDescent="0.3">
      <c r="A104" s="3"/>
      <c r="B104" s="50"/>
      <c r="C104" s="4"/>
      <c r="D104" s="5"/>
      <c r="E104" s="5"/>
      <c r="F104" s="6"/>
      <c r="G104" s="6"/>
      <c r="H104" s="7"/>
      <c r="I104" s="8" t="str">
        <f t="shared" si="72"/>
        <v/>
      </c>
      <c r="J104" s="9" t="str">
        <f t="shared" si="73"/>
        <v/>
      </c>
      <c r="K104" s="10" t="str">
        <f t="shared" si="50"/>
        <v/>
      </c>
      <c r="L104" s="11" t="str">
        <f t="shared" si="51"/>
        <v/>
      </c>
      <c r="M104" s="12" t="str">
        <f t="shared" si="52"/>
        <v/>
      </c>
      <c r="N104" s="13" t="str">
        <f t="shared" si="53"/>
        <v/>
      </c>
      <c r="O104" s="14" t="str">
        <f t="shared" si="54"/>
        <v/>
      </c>
      <c r="P104" s="15"/>
      <c r="Q104" s="16" t="str">
        <f t="shared" si="64"/>
        <v/>
      </c>
      <c r="R104" s="16" t="str">
        <f t="shared" si="65"/>
        <v/>
      </c>
      <c r="S104" s="17" t="str">
        <f t="shared" si="66"/>
        <v/>
      </c>
      <c r="T104" s="17" t="str">
        <f t="shared" si="67"/>
        <v/>
      </c>
      <c r="U104" s="16" t="str">
        <f t="shared" si="55"/>
        <v/>
      </c>
      <c r="V104" s="17" t="str">
        <f t="shared" si="56"/>
        <v/>
      </c>
      <c r="W104" s="18">
        <f t="shared" si="68"/>
        <v>0</v>
      </c>
      <c r="X104" s="18">
        <f t="shared" si="69"/>
        <v>0</v>
      </c>
      <c r="Y104" s="18" t="str">
        <f t="shared" si="70"/>
        <v/>
      </c>
      <c r="Z104" s="19">
        <f>IF(W104=1,MAX(0,MIN(Settings!$B$6,(IFERROR(VLOOKUP(U103,'Bucket Status'!$A$4:$B$75,2,FALSE()),0)-(SUMIF($U$5:$U103,U103,$AK$5:$AK103)+SUMIF($V$5:$V103,U103,$AL$5:$AL103)+SUMIF($Y$5:$Y103,U103,$AA$5:$AA103)+SUMIF($AC$5:$AC103,U103,$AE$5:$AE103))))),IF(AB103&gt;0,AB103,0))</f>
        <v>0</v>
      </c>
      <c r="AA104" s="19">
        <f t="shared" si="74"/>
        <v>0</v>
      </c>
      <c r="AB104" s="19">
        <f t="shared" si="75"/>
        <v>0</v>
      </c>
      <c r="AC104" s="18" t="str">
        <f t="shared" si="71"/>
        <v/>
      </c>
      <c r="AD104" s="19">
        <f>IF(X104=1,MAX(0,MIN(Settings!$B$6-Z104,(IFERROR(VLOOKUP(V103,'Bucket Status'!$A$4:$B$75,2,FALSE()),0)-(SUMIF($U$5:$U103,V103,$AK$5:$AK103)+SUMIF($V$5:$V103,V103,$AL$5:$AL103)+SUMIF($Y$5:$Y103,V103,$AA$5:$AA103)+SUMIF($AC$5:$AC103,V103,$AE$5:$AE103))))),IF(AF103&gt;0,AF103,0))</f>
        <v>0</v>
      </c>
      <c r="AE104" s="19">
        <f t="shared" si="76"/>
        <v>0</v>
      </c>
      <c r="AF104" s="19">
        <f t="shared" si="77"/>
        <v>0</v>
      </c>
      <c r="AG104" s="20">
        <f>IFERROR(IF(C104="Y",Settings!$B$4+Settings!$B$5,0),0)</f>
        <v>0</v>
      </c>
      <c r="AH104" s="21" t="str">
        <f>IFERROR(IF(U104="","",IFERROR(VLOOKUP(U104,'Bucket Status'!$A$4:$B$75,2,FALSE()),0)-(SUMIF($U$5:$U103,U104,$AK$5:$AK103)+SUMIF($V$5:$V103,U104,$AL$5:$AL103)+SUMIF($Y$5:$Y103,U104,$AA$5:$AA103)+SUMIF($AC$5:$AC103,U104,$AE$5:$AE103))),"")</f>
        <v/>
      </c>
      <c r="AI104" s="22" t="str">
        <f>IFERROR(IF(V104="","",IFERROR(VLOOKUP(V104,'Bucket Status'!$A$4:$B$75,2,FALSE()),0)-(SUMIF($U$5:$U103,V104,$AK$5:$AK103)+SUMIF($V$5:$V103,V104,$AL$5:$AL103)+SUMIF($Y$5:$Y103,V104,$AA$5:$AA103)+SUMIF($AC$5:$AC103,V104,$AE$5:$AE103))),"")</f>
        <v/>
      </c>
      <c r="AJ104" s="23" t="str">
        <f t="shared" si="78"/>
        <v/>
      </c>
      <c r="AK104" s="21" t="str">
        <f t="shared" si="62"/>
        <v/>
      </c>
      <c r="AL104" s="22" t="str">
        <f t="shared" si="79"/>
        <v/>
      </c>
    </row>
    <row r="105" spans="1:38" ht="19.5" customHeight="1" x14ac:dyDescent="0.3">
      <c r="A105" s="65" t="s">
        <v>48</v>
      </c>
      <c r="B105" s="65"/>
      <c r="C105" s="65"/>
      <c r="D105" s="65"/>
      <c r="E105" s="65"/>
      <c r="F105" s="65"/>
      <c r="G105" s="65"/>
      <c r="H105" s="24">
        <f>SUM(H5:H104)</f>
        <v>60.429999999999993</v>
      </c>
      <c r="I105" s="24">
        <f>SUM(I5:I104)</f>
        <v>60.429999999999993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4">
        <f>SUM(AA5:AA104)</f>
        <v>0</v>
      </c>
      <c r="AB105" s="25"/>
      <c r="AC105" s="25"/>
      <c r="AD105" s="25"/>
      <c r="AE105" s="24">
        <f>SUM(AE5:AE104)</f>
        <v>10.799999999999997</v>
      </c>
      <c r="AF105" s="25"/>
      <c r="AG105" s="24">
        <f>SUM(AG5:AG104)</f>
        <v>0</v>
      </c>
      <c r="AH105" s="25"/>
      <c r="AI105" s="25"/>
      <c r="AJ105" s="25"/>
      <c r="AK105" s="24">
        <f>SUM(AK5:AK104)</f>
        <v>34.619999999999997</v>
      </c>
      <c r="AL105" s="24">
        <f>SUM(AL5:AL104)</f>
        <v>15.010000000000007</v>
      </c>
    </row>
  </sheetData>
  <sheetProtection formatColumns="0" formatRows="0"/>
  <mergeCells count="9">
    <mergeCell ref="A105:G105"/>
    <mergeCell ref="A1:AL1"/>
    <mergeCell ref="A2:C2"/>
    <mergeCell ref="D2:E2"/>
    <mergeCell ref="F2:G2"/>
    <mergeCell ref="I2:J2"/>
    <mergeCell ref="K2:M2"/>
    <mergeCell ref="N2:O2"/>
    <mergeCell ref="Q2:AJ2"/>
  </mergeCells>
  <conditionalFormatting sqref="I5:I104">
    <cfRule type="expression" dxfId="7" priority="2">
      <formula>AND($I5&lt;&gt;"",$AJ5&lt;&gt;"",(AK5+AL5)&gt;$AJ5)</formula>
    </cfRule>
  </conditionalFormatting>
  <conditionalFormatting sqref="J5:J104">
    <cfRule type="expression" dxfId="6" priority="3">
      <formula>AND($J5&lt;&gt;"",$J5&lt;0)</formula>
    </cfRule>
  </conditionalFormatting>
  <dataValidations count="3">
    <dataValidation type="list" allowBlank="1" sqref="C5:C104" xr:uid="{00000000-0002-0000-0000-000000000000}">
      <formula1>"Y,N"</formula1>
      <formula2>0</formula2>
    </dataValidation>
    <dataValidation type="list" allowBlank="1" sqref="D5:D104 F5:F104" xr:uid="{00000000-0002-0000-0000-000001000000}">
      <formula1>"M1,M2,M3,M4,M5,M6,M7,M8,M9"</formula1>
      <formula2>0</formula2>
    </dataValidation>
    <dataValidation type="list" allowBlank="1" sqref="E5:E104 G5:G104" xr:uid="{00000000-0002-0000-0000-000002000000}">
      <formula1>"A,B,C,D,E,F,G,H"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000-000004000000}">
            <xm:f>AND($J5&lt;&gt;"",$J5&gt;=0,$J5&lt;=Settings!$B$3)</xm:f>
            <x14:dxf>
              <font>
                <b/>
                <sz val="12"/>
                <color rgb="FF7F6000"/>
                <name val="Arial"/>
                <charset val="1"/>
              </font>
              <fill>
                <patternFill>
                  <bgColor rgb="FFFFEB9C"/>
                </patternFill>
              </fill>
            </x14:dxf>
          </x14:cfRule>
          <x14:cfRule type="expression" priority="5" id="{00000000-000E-0000-0000-000005000000}">
            <xm:f>AND($J5&lt;&gt;"",$J5&gt;Settings!$B$3)</xm:f>
            <x14:dxf>
              <font>
                <b/>
                <sz val="12"/>
                <color rgb="FF375623"/>
                <name val="Arial"/>
                <charset val="1"/>
              </font>
              <fill>
                <patternFill>
                  <bgColor rgb="FFC6EFCE"/>
                </patternFill>
              </fill>
            </x14:dxf>
          </x14:cfRule>
          <xm:sqref>J5:J104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5"/>
  <sheetViews>
    <sheetView zoomScaleNormal="100" workbookViewId="0">
      <pane ySplit="4" topLeftCell="A11" activePane="bottomLeft" state="frozen"/>
      <selection pane="bottomLeft" activeCell="H24" sqref="H24"/>
    </sheetView>
  </sheetViews>
  <sheetFormatPr defaultColWidth="8.6640625" defaultRowHeight="14.4" outlineLevelCol="1" x14ac:dyDescent="0.3"/>
  <cols>
    <col min="1" max="1" width="10" customWidth="1"/>
    <col min="2" max="2" width="12" style="51" customWidth="1"/>
    <col min="3" max="3" width="15" customWidth="1"/>
    <col min="4" max="7" width="11" customWidth="1"/>
    <col min="8" max="8" width="16" customWidth="1"/>
    <col min="9" max="9" width="15" customWidth="1"/>
    <col min="10" max="10" width="16" customWidth="1"/>
    <col min="11" max="11" width="13.109375" customWidth="1"/>
    <col min="12" max="13" width="14.109375" customWidth="1"/>
    <col min="14" max="14" width="14.33203125" customWidth="1"/>
    <col min="15" max="15" width="14" customWidth="1"/>
    <col min="16" max="16" width="22" customWidth="1"/>
    <col min="17" max="36" width="13" hidden="1" customWidth="1" outlineLevel="1"/>
    <col min="37" max="38" width="13" hidden="1" customWidth="1"/>
  </cols>
  <sheetData>
    <row r="1" spans="1:38" ht="30" customHeight="1" x14ac:dyDescent="0.3">
      <c r="A1" s="63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spans="1:38" ht="15.75" customHeight="1" x14ac:dyDescent="0.3">
      <c r="A2" s="64" t="s">
        <v>1</v>
      </c>
      <c r="B2" s="64"/>
      <c r="C2" s="64"/>
      <c r="D2" s="64" t="s">
        <v>2</v>
      </c>
      <c r="E2" s="64"/>
      <c r="F2" s="64" t="s">
        <v>3</v>
      </c>
      <c r="G2" s="64"/>
      <c r="H2" s="1" t="s">
        <v>4</v>
      </c>
      <c r="I2" s="64" t="s">
        <v>5</v>
      </c>
      <c r="J2" s="64"/>
      <c r="K2" s="64" t="s">
        <v>6</v>
      </c>
      <c r="L2" s="64"/>
      <c r="M2" s="64"/>
      <c r="N2" s="64" t="s">
        <v>7</v>
      </c>
      <c r="O2" s="64"/>
      <c r="P2" s="1" t="s">
        <v>8</v>
      </c>
      <c r="Q2" s="64" t="s">
        <v>9</v>
      </c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</row>
    <row r="3" spans="1:38" ht="6" customHeight="1" x14ac:dyDescent="0.3"/>
    <row r="4" spans="1:38" ht="39.75" customHeight="1" x14ac:dyDescent="0.3">
      <c r="A4" s="26" t="s">
        <v>10</v>
      </c>
      <c r="B4" s="53" t="s">
        <v>11</v>
      </c>
      <c r="C4" s="26" t="s">
        <v>12</v>
      </c>
      <c r="D4" s="26" t="s">
        <v>13</v>
      </c>
      <c r="E4" s="26" t="s">
        <v>14</v>
      </c>
      <c r="F4" s="26" t="s">
        <v>15</v>
      </c>
      <c r="G4" s="26" t="s">
        <v>16</v>
      </c>
      <c r="H4" s="26" t="s">
        <v>17</v>
      </c>
      <c r="I4" s="26" t="s">
        <v>18</v>
      </c>
      <c r="J4" s="26" t="s">
        <v>19</v>
      </c>
      <c r="K4" s="26" t="s">
        <v>20</v>
      </c>
      <c r="L4" s="26" t="s">
        <v>21</v>
      </c>
      <c r="M4" s="26" t="s">
        <v>22</v>
      </c>
      <c r="N4" s="26" t="s">
        <v>23</v>
      </c>
      <c r="O4" s="26" t="s">
        <v>24</v>
      </c>
      <c r="P4" s="26" t="s">
        <v>8</v>
      </c>
      <c r="Q4" s="26" t="s">
        <v>25</v>
      </c>
      <c r="R4" s="26" t="s">
        <v>26</v>
      </c>
      <c r="S4" s="26" t="s">
        <v>27</v>
      </c>
      <c r="T4" s="26" t="s">
        <v>28</v>
      </c>
      <c r="U4" s="26" t="s">
        <v>29</v>
      </c>
      <c r="V4" s="26" t="s">
        <v>30</v>
      </c>
      <c r="W4" s="26" t="s">
        <v>31</v>
      </c>
      <c r="X4" s="26" t="s">
        <v>32</v>
      </c>
      <c r="Y4" s="26" t="s">
        <v>33</v>
      </c>
      <c r="Z4" s="26" t="s">
        <v>34</v>
      </c>
      <c r="AA4" s="26" t="s">
        <v>35</v>
      </c>
      <c r="AB4" s="26" t="s">
        <v>36</v>
      </c>
      <c r="AC4" s="26" t="s">
        <v>37</v>
      </c>
      <c r="AD4" s="26" t="s">
        <v>38</v>
      </c>
      <c r="AE4" s="26" t="s">
        <v>39</v>
      </c>
      <c r="AF4" s="26" t="s">
        <v>40</v>
      </c>
      <c r="AG4" s="26" t="s">
        <v>41</v>
      </c>
      <c r="AH4" s="26" t="s">
        <v>42</v>
      </c>
      <c r="AI4" s="26" t="s">
        <v>43</v>
      </c>
      <c r="AJ4" s="26" t="s">
        <v>44</v>
      </c>
    </row>
    <row r="5" spans="1:38" ht="18" customHeight="1" x14ac:dyDescent="0.3">
      <c r="A5" s="3" t="s">
        <v>162</v>
      </c>
      <c r="B5" s="50"/>
      <c r="C5" s="4" t="s">
        <v>163</v>
      </c>
      <c r="D5" s="5" t="s">
        <v>45</v>
      </c>
      <c r="E5" s="5" t="s">
        <v>164</v>
      </c>
      <c r="F5" s="6" t="s">
        <v>45</v>
      </c>
      <c r="G5" s="6" t="s">
        <v>165</v>
      </c>
      <c r="H5" s="7">
        <v>1.8</v>
      </c>
      <c r="I5" s="8">
        <f t="shared" ref="I5:I36" si="0">IFERROR(IF(H5="","",H5+AG5),"")</f>
        <v>3</v>
      </c>
      <c r="J5" s="9">
        <f t="shared" ref="J5:J36" si="1">IFERROR(IF(OR(I5="",AJ5=""),"",AJ5-(AK5+AL5)),"")</f>
        <v>6.1899999999999995</v>
      </c>
      <c r="K5" s="10" t="str">
        <f t="shared" ref="K5:K36" si="2">IF(AND(AA5&gt;0,AE5&gt;0),TEXT(AA5,"0.000")&amp;" kg "&amp;Y5&amp;" (funnel)"&amp;"  +  "&amp;TEXT(AE5,"0.000")&amp;" kg "&amp;AC5&amp;" (funnel)",IF(AA5&gt;0,TEXT(AA5,"0.000")&amp;" kg "&amp;Y5&amp;" (funnel)",IF(AE5&gt;0,TEXT(AE5,"0.000")&amp;" kg "&amp;AC5&amp;" (funnel)","")))</f>
        <v/>
      </c>
      <c r="L5" s="11" t="str">
        <f t="shared" ref="L5:L36" si="3">IF(OR(AK5="",AK5=0,U5=""),"",TEXT(AK5,"0.000")&amp;" kg "&amp;U5)</f>
        <v>3.000 kg M1E-</v>
      </c>
      <c r="M5" s="12" t="str">
        <f t="shared" ref="M5:M36" si="4">IF(OR(AL5="",AL5=0,V5=""),"",TEXT(AL5,"0.000")&amp;" kg "&amp;V5)</f>
        <v/>
      </c>
      <c r="N5" s="13" t="str">
        <f t="shared" ref="N5:N36" si="5">IF(OR(I5="",U5=""),"",TEXT(MAX(0,(AH5-AK5-IF(Y5=U5,AA5,0)-IF(AC5=U5,AE5,0))),"0.000")&amp;" kg "&amp;U5)</f>
        <v>1.550 kg M1E-</v>
      </c>
      <c r="O5" s="14" t="str">
        <f t="shared" ref="O5:O36" si="6">IF(OR(I5="",V5=""),"",TEXT(MAX(0,(AI5-AL5-IF(Y5=V5,AA5,0)-IF(AC5=V5,AE5,0))),"0.000")&amp;" kg "&amp;V5)</f>
        <v>4.640 kg M1F-</v>
      </c>
      <c r="P5" s="15"/>
      <c r="Q5" s="16" t="str">
        <f>IF($A5="","",IF(D5="","",D5))</f>
        <v>M1</v>
      </c>
      <c r="R5" s="16" t="str">
        <f>IF($A5="","",IF(E5="","",E5))</f>
        <v>E</v>
      </c>
      <c r="S5" s="17" t="str">
        <f>IF($A5="","",IF(F5="","",F5))</f>
        <v>M1</v>
      </c>
      <c r="T5" s="17" t="str">
        <f>IF($A5="","",IF(G5="","",G5))</f>
        <v>F</v>
      </c>
      <c r="U5" s="16" t="str">
        <f t="shared" ref="U5:U36" si="7">IF(OR(Q5="",R5=""),"",Q5&amp;R5&amp;"-")</f>
        <v>M1E-</v>
      </c>
      <c r="V5" s="17" t="str">
        <f t="shared" ref="V5:V36" si="8">IF(OR(S5="",T5=""),"",S5&amp;T5&amp;"-")</f>
        <v>M1F-</v>
      </c>
      <c r="W5" s="18">
        <f>0</f>
        <v>0</v>
      </c>
      <c r="X5" s="18">
        <f>0</f>
        <v>0</v>
      </c>
      <c r="Y5" s="18" t="str">
        <f>""</f>
        <v/>
      </c>
      <c r="Z5" s="19">
        <f>0</f>
        <v>0</v>
      </c>
      <c r="AA5" s="19">
        <f t="shared" ref="AA5:AA36" si="9">IFERROR(IF(I5="",0,MAX(0,MIN(Z5,I5))),0)</f>
        <v>0</v>
      </c>
      <c r="AB5" s="19">
        <f t="shared" ref="AB5:AB36" si="10">IFERROR(Z5-AA5,0)</f>
        <v>0</v>
      </c>
      <c r="AC5" s="18" t="str">
        <f>""</f>
        <v/>
      </c>
      <c r="AD5" s="19">
        <f>0</f>
        <v>0</v>
      </c>
      <c r="AE5" s="19">
        <f t="shared" ref="AE5:AE36" si="11">IFERROR(IF(I5="",0,MAX(0,MIN(AD5,I5-AA5))),0)</f>
        <v>0</v>
      </c>
      <c r="AF5" s="19">
        <f t="shared" ref="AF5:AF36" si="12">IFERROR(AD5-AE5,0)</f>
        <v>0</v>
      </c>
      <c r="AG5" s="20">
        <f>IFERROR(IF(C5="Y",Settings!$B$4+Settings!$B$5,0),0)</f>
        <v>1.2</v>
      </c>
      <c r="AH5" s="21">
        <f>IFERROR(IF(U5="","",IFERROR(VLOOKUP(U5,'Bucket Status'!$A$4:$B$75,2,FALSE()),0)-0),"")</f>
        <v>4.55</v>
      </c>
      <c r="AI5" s="22">
        <f>IFERROR(IF(V5="","",IFERROR(VLOOKUP(V5,'Bucket Status'!$A$4:$B$75,2,FALSE()),0)-0),"")</f>
        <v>4.6399999999999997</v>
      </c>
      <c r="AJ5" s="23">
        <f t="shared" ref="AJ5:AJ36" si="13">IFERROR(IF(AH5="","",AH5+IF(AI5="",0,AI5)),"")</f>
        <v>9.19</v>
      </c>
      <c r="AK5" s="21">
        <f t="shared" ref="AK5:AK36" si="14">IFERROR(IF(I5="","",IF(U5="",0,IF(V5="",(I5-AA5-AE5),MIN(AH5,(I5-AA5-AE5))))),"")</f>
        <v>3</v>
      </c>
      <c r="AL5" s="22">
        <f t="shared" ref="AL5:AL36" si="15">IFERROR(IF(I5="","",IF(V5="",0,MAX(0,(I5-AA5-AE5)-AK5))),"")</f>
        <v>0</v>
      </c>
    </row>
    <row r="6" spans="1:38" ht="18" customHeight="1" x14ac:dyDescent="0.3">
      <c r="A6" s="3" t="s">
        <v>166</v>
      </c>
      <c r="B6" s="50">
        <v>46279</v>
      </c>
      <c r="C6" s="4"/>
      <c r="D6" s="5"/>
      <c r="E6" s="5"/>
      <c r="F6" s="6"/>
      <c r="G6" s="6"/>
      <c r="H6" s="7">
        <v>3.4</v>
      </c>
      <c r="I6" s="8">
        <f t="shared" si="0"/>
        <v>3.4</v>
      </c>
      <c r="J6" s="9">
        <f t="shared" si="1"/>
        <v>2.7899999999999996</v>
      </c>
      <c r="K6" s="10" t="str">
        <f t="shared" si="2"/>
        <v/>
      </c>
      <c r="L6" s="11" t="str">
        <f t="shared" si="3"/>
        <v>1.550 kg M1E-</v>
      </c>
      <c r="M6" s="12" t="str">
        <f t="shared" si="4"/>
        <v>1.850 kg M1F-</v>
      </c>
      <c r="N6" s="13" t="str">
        <f t="shared" si="5"/>
        <v>0.000 kg M1E-</v>
      </c>
      <c r="O6" s="14" t="str">
        <f t="shared" si="6"/>
        <v>2.790 kg M1F-</v>
      </c>
      <c r="P6" s="15"/>
      <c r="Q6" s="16" t="str">
        <f t="shared" ref="Q6:Q37" si="16">IF($A6="","",IF(D6="",Q5,D6))</f>
        <v>M1</v>
      </c>
      <c r="R6" s="16" t="str">
        <f t="shared" ref="R6:R37" si="17">IF($A6="","",IF(E6="",R5,E6))</f>
        <v>E</v>
      </c>
      <c r="S6" s="17" t="str">
        <f t="shared" ref="S6:S37" si="18">IF($A6="","",IF(F6="",S5,F6))</f>
        <v>M1</v>
      </c>
      <c r="T6" s="17" t="str">
        <f t="shared" ref="T6:T37" si="19">IF($A6="","",IF(G6="",T5,G6))</f>
        <v>F</v>
      </c>
      <c r="U6" s="16" t="str">
        <f t="shared" si="7"/>
        <v>M1E-</v>
      </c>
      <c r="V6" s="17" t="str">
        <f t="shared" si="8"/>
        <v>M1F-</v>
      </c>
      <c r="W6" s="18">
        <f t="shared" ref="W6:W37" si="20">IF(AND(U6&lt;&gt;"",U5&lt;&gt;"",U6&lt;&gt;U5),1,0)</f>
        <v>0</v>
      </c>
      <c r="X6" s="18">
        <f t="shared" ref="X6:X37" si="21">IF(AND(V6&lt;&gt;"",V5&lt;&gt;"",V6&lt;&gt;V5),1,0)</f>
        <v>0</v>
      </c>
      <c r="Y6" s="18" t="str">
        <f t="shared" ref="Y6:Y37" si="22">IF(W6=1,U5,IF(AB5&gt;0,Y5,""))</f>
        <v/>
      </c>
      <c r="Z6" s="19">
        <f>IF(W6=1,MAX(0,MIN(Settings!$B$6,(IFERROR(VLOOKUP(U5,'Bucket Status'!$A$4:$B$75,2,FALSE()),0)-(SUMIF($U$5:$U5,U5,$AK$5:$AK5)+SUMIF($V$5:$V5,U5,$AL$5:$AL5)+SUMIF($Y$5:$Y5,U5,$AA$5:$AA5)+SUMIF($AC$5:$AC5,U5,$AE$5:$AE5))))),IF(AB5&gt;0,AB5,0))</f>
        <v>0</v>
      </c>
      <c r="AA6" s="19">
        <f t="shared" si="9"/>
        <v>0</v>
      </c>
      <c r="AB6" s="19">
        <f t="shared" si="10"/>
        <v>0</v>
      </c>
      <c r="AC6" s="18" t="str">
        <f t="shared" ref="AC6:AC37" si="23">IF(X6=1,V5,IF(AF5&gt;0,AC5,""))</f>
        <v/>
      </c>
      <c r="AD6" s="19">
        <f>IF(X6=1,MAX(0,MIN(Settings!$B$6-Z6,(IFERROR(VLOOKUP(V5,'Bucket Status'!$A$4:$B$75,2,FALSE()),0)-(SUMIF($U$5:$U5,V5,$AK$5:$AK5)+SUMIF($V$5:$V5,V5,$AL$5:$AL5)+SUMIF($Y$5:$Y5,V5,$AA$5:$AA5)+SUMIF($AC$5:$AC5,V5,$AE$5:$AE5))))),IF(AF5&gt;0,AF5,0))</f>
        <v>0</v>
      </c>
      <c r="AE6" s="19">
        <f t="shared" si="11"/>
        <v>0</v>
      </c>
      <c r="AF6" s="19">
        <f t="shared" si="12"/>
        <v>0</v>
      </c>
      <c r="AG6" s="20">
        <f>IFERROR(IF(C6="Y",Settings!$B$4+Settings!$B$5,0),0)</f>
        <v>0</v>
      </c>
      <c r="AH6" s="21">
        <f>IFERROR(IF(U6="","",IFERROR(VLOOKUP(U6,'Bucket Status'!$A$4:$B$75,2,FALSE()),0)-(SUMIF($U$5:$U5,U6,$AK$5:$AK5)+SUMIF($V$5:$V5,U6,$AL$5:$AL5)+SUMIF($Y$5:$Y5,U6,$AA$5:$AA5)+SUMIF($AC$5:$AC5,U6,$AE$5:$AE5))),"")</f>
        <v>1.5499999999999998</v>
      </c>
      <c r="AI6" s="22">
        <f>IFERROR(IF(V6="","",IFERROR(VLOOKUP(V6,'Bucket Status'!$A$4:$B$75,2,FALSE()),0)-(SUMIF($U$5:$U5,V6,$AK$5:$AK5)+SUMIF($V$5:$V5,V6,$AL$5:$AL5)+SUMIF($Y$5:$Y5,V6,$AA$5:$AA5)+SUMIF($AC$5:$AC5,V6,$AE$5:$AE5))),"")</f>
        <v>4.6399999999999997</v>
      </c>
      <c r="AJ6" s="23">
        <f t="shared" si="13"/>
        <v>6.1899999999999995</v>
      </c>
      <c r="AK6" s="21">
        <f t="shared" si="14"/>
        <v>1.5499999999999998</v>
      </c>
      <c r="AL6" s="22">
        <f t="shared" si="15"/>
        <v>1.85</v>
      </c>
    </row>
    <row r="7" spans="1:38" ht="18" customHeight="1" x14ac:dyDescent="0.3">
      <c r="A7" s="3" t="s">
        <v>168</v>
      </c>
      <c r="B7" s="50">
        <v>46280</v>
      </c>
      <c r="C7" s="4"/>
      <c r="D7" s="5"/>
      <c r="E7" s="5"/>
      <c r="F7" s="6" t="s">
        <v>45</v>
      </c>
      <c r="G7" s="6" t="s">
        <v>169</v>
      </c>
      <c r="H7" s="7">
        <v>3.93</v>
      </c>
      <c r="I7" s="8">
        <f t="shared" si="0"/>
        <v>3.93</v>
      </c>
      <c r="J7" s="9">
        <f t="shared" si="1"/>
        <v>3.669999999999999</v>
      </c>
      <c r="K7" s="10" t="str">
        <f t="shared" si="2"/>
        <v>2.790 kg M1F- (funnel)</v>
      </c>
      <c r="L7" s="11" t="str">
        <f t="shared" si="3"/>
        <v/>
      </c>
      <c r="M7" s="12" t="str">
        <f t="shared" si="4"/>
        <v>1.140 kg M1G-</v>
      </c>
      <c r="N7" s="13" t="str">
        <f t="shared" si="5"/>
        <v>0.000 kg M1E-</v>
      </c>
      <c r="O7" s="14" t="str">
        <f t="shared" si="6"/>
        <v>3.670 kg M1G-</v>
      </c>
      <c r="P7" s="15"/>
      <c r="Q7" s="16" t="str">
        <f t="shared" si="16"/>
        <v>M1</v>
      </c>
      <c r="R7" s="16" t="str">
        <f t="shared" si="17"/>
        <v>E</v>
      </c>
      <c r="S7" s="17" t="str">
        <f t="shared" si="18"/>
        <v>M1</v>
      </c>
      <c r="T7" s="17" t="str">
        <f t="shared" si="19"/>
        <v>G</v>
      </c>
      <c r="U7" s="16" t="str">
        <f t="shared" si="7"/>
        <v>M1E-</v>
      </c>
      <c r="V7" s="17" t="str">
        <f t="shared" si="8"/>
        <v>M1G-</v>
      </c>
      <c r="W7" s="18">
        <f t="shared" si="20"/>
        <v>0</v>
      </c>
      <c r="X7" s="18">
        <f t="shared" si="21"/>
        <v>1</v>
      </c>
      <c r="Y7" s="18" t="str">
        <f t="shared" si="22"/>
        <v/>
      </c>
      <c r="Z7" s="19">
        <f>IF(W7=1,MAX(0,MIN(Settings!$B$6,(IFERROR(VLOOKUP(U6,'Bucket Status'!$A$4:$B$75,2,FALSE()),0)-(SUMIF($U$5:$U6,U6,$AK$5:$AK6)+SUMIF($V$5:$V6,U6,$AL$5:$AL6)+SUMIF($Y$5:$Y6,U6,$AA$5:$AA6)+SUMIF($AC$5:$AC6,U6,$AE$5:$AE6))))),IF(AB6&gt;0,AB6,0))</f>
        <v>0</v>
      </c>
      <c r="AA7" s="19">
        <f t="shared" si="9"/>
        <v>0</v>
      </c>
      <c r="AB7" s="19">
        <f t="shared" si="10"/>
        <v>0</v>
      </c>
      <c r="AC7" s="18" t="str">
        <f t="shared" si="23"/>
        <v>M1F-</v>
      </c>
      <c r="AD7" s="19">
        <f>IF(X7=1,MAX(0,MIN(Settings!$B$6-Z7,(IFERROR(VLOOKUP(V6,'Bucket Status'!$A$4:$B$75,2,FALSE()),0)-(SUMIF($U$5:$U6,V6,$AK$5:$AK6)+SUMIF($V$5:$V6,V6,$AL$5:$AL6)+SUMIF($Y$5:$Y6,V6,$AA$5:$AA6)+SUMIF($AC$5:$AC6,V6,$AE$5:$AE6))))),IF(AF6&gt;0,AF6,0))</f>
        <v>2.7899999999999996</v>
      </c>
      <c r="AE7" s="19">
        <f t="shared" si="11"/>
        <v>2.7899999999999996</v>
      </c>
      <c r="AF7" s="19">
        <f t="shared" si="12"/>
        <v>0</v>
      </c>
      <c r="AG7" s="20">
        <f>IFERROR(IF(C7="Y",Settings!$B$4+Settings!$B$5,0),0)</f>
        <v>0</v>
      </c>
      <c r="AH7" s="21">
        <f>IFERROR(IF(U7="","",IFERROR(VLOOKUP(U7,'Bucket Status'!$A$4:$B$75,2,FALSE()),0)-(SUMIF($U$5:$U6,U7,$AK$5:$AK6)+SUMIF($V$5:$V6,U7,$AL$5:$AL6)+SUMIF($Y$5:$Y6,U7,$AA$5:$AA6)+SUMIF($AC$5:$AC6,U7,$AE$5:$AE6))),"")</f>
        <v>0</v>
      </c>
      <c r="AI7" s="22">
        <f>IFERROR(IF(V7="","",IFERROR(VLOOKUP(V7,'Bucket Status'!$A$4:$B$75,2,FALSE()),0)-(SUMIF($U$5:$U6,V7,$AK$5:$AK6)+SUMIF($V$5:$V6,V7,$AL$5:$AL6)+SUMIF($Y$5:$Y6,V7,$AA$5:$AA6)+SUMIF($AC$5:$AC6,V7,$AE$5:$AE6))),"")</f>
        <v>4.8099999999999996</v>
      </c>
      <c r="AJ7" s="23">
        <f t="shared" si="13"/>
        <v>4.8099999999999996</v>
      </c>
      <c r="AK7" s="21">
        <f t="shared" si="14"/>
        <v>0</v>
      </c>
      <c r="AL7" s="22">
        <f t="shared" si="15"/>
        <v>1.1400000000000006</v>
      </c>
    </row>
    <row r="8" spans="1:38" ht="18" customHeight="1" x14ac:dyDescent="0.3">
      <c r="A8" s="3" t="s">
        <v>173</v>
      </c>
      <c r="B8" s="50">
        <v>46281</v>
      </c>
      <c r="C8" s="4"/>
      <c r="D8" s="5"/>
      <c r="E8" s="5"/>
      <c r="F8" s="6" t="s">
        <v>45</v>
      </c>
      <c r="G8" s="6" t="s">
        <v>174</v>
      </c>
      <c r="H8" s="7">
        <v>2.76</v>
      </c>
      <c r="I8" s="8">
        <f t="shared" si="0"/>
        <v>2.76</v>
      </c>
      <c r="J8" s="9">
        <f t="shared" si="1"/>
        <v>4.5999999999999996</v>
      </c>
      <c r="K8" s="10" t="str">
        <f t="shared" si="2"/>
        <v>2.760 kg M1G- (funnel)</v>
      </c>
      <c r="L8" s="11" t="str">
        <f t="shared" si="3"/>
        <v/>
      </c>
      <c r="M8" s="12" t="str">
        <f t="shared" si="4"/>
        <v/>
      </c>
      <c r="N8" s="13" t="str">
        <f t="shared" si="5"/>
        <v>0.000 kg M1E-</v>
      </c>
      <c r="O8" s="14" t="str">
        <f t="shared" si="6"/>
        <v>4.600 kg M1H-</v>
      </c>
      <c r="P8" s="15"/>
      <c r="Q8" s="16" t="str">
        <f t="shared" si="16"/>
        <v>M1</v>
      </c>
      <c r="R8" s="16" t="str">
        <f t="shared" si="17"/>
        <v>E</v>
      </c>
      <c r="S8" s="17" t="str">
        <f t="shared" si="18"/>
        <v>M1</v>
      </c>
      <c r="T8" s="17" t="str">
        <f t="shared" si="19"/>
        <v>H</v>
      </c>
      <c r="U8" s="16" t="str">
        <f t="shared" si="7"/>
        <v>M1E-</v>
      </c>
      <c r="V8" s="17" t="str">
        <f t="shared" si="8"/>
        <v>M1H-</v>
      </c>
      <c r="W8" s="18">
        <f t="shared" si="20"/>
        <v>0</v>
      </c>
      <c r="X8" s="18">
        <f t="shared" si="21"/>
        <v>1</v>
      </c>
      <c r="Y8" s="18" t="str">
        <f t="shared" si="22"/>
        <v/>
      </c>
      <c r="Z8" s="19">
        <f>IF(W8=1,MAX(0,MIN(Settings!$B$6,(IFERROR(VLOOKUP(U7,'Bucket Status'!$A$4:$B$75,2,FALSE()),0)-(SUMIF($U$5:$U7,U7,$AK$5:$AK7)+SUMIF($V$5:$V7,U7,$AL$5:$AL7)+SUMIF($Y$5:$Y7,U7,$AA$5:$AA7)+SUMIF($AC$5:$AC7,U7,$AE$5:$AE7))))),IF(AB7&gt;0,AB7,0))</f>
        <v>0</v>
      </c>
      <c r="AA8" s="19">
        <f t="shared" si="9"/>
        <v>0</v>
      </c>
      <c r="AB8" s="19">
        <f t="shared" si="10"/>
        <v>0</v>
      </c>
      <c r="AC8" s="18" t="str">
        <f t="shared" si="23"/>
        <v>M1G-</v>
      </c>
      <c r="AD8" s="19">
        <f>IF(X8=1,MAX(0,MIN(Settings!$B$6-Z8,(IFERROR(VLOOKUP(V7,'Bucket Status'!$A$4:$B$75,2,FALSE()),0)-(SUMIF($U$5:$U7,V7,$AK$5:$AK7)+SUMIF($V$5:$V7,V7,$AL$5:$AL7)+SUMIF($Y$5:$Y7,V7,$AA$5:$AA7)+SUMIF($AC$5:$AC7,V7,$AE$5:$AE7))))),IF(AF7&gt;0,AF7,0))</f>
        <v>3.669999999999999</v>
      </c>
      <c r="AE8" s="19">
        <f t="shared" si="11"/>
        <v>2.76</v>
      </c>
      <c r="AF8" s="19">
        <f t="shared" si="12"/>
        <v>0.90999999999999925</v>
      </c>
      <c r="AG8" s="20">
        <f>IFERROR(IF(C8="Y",Settings!$B$4+Settings!$B$5,0),0)</f>
        <v>0</v>
      </c>
      <c r="AH8" s="21">
        <f>IFERROR(IF(U8="","",IFERROR(VLOOKUP(U8,'Bucket Status'!$A$4:$B$75,2,FALSE()),0)-(SUMIF($U$5:$U7,U8,$AK$5:$AK7)+SUMIF($V$5:$V7,U8,$AL$5:$AL7)+SUMIF($Y$5:$Y7,U8,$AA$5:$AA7)+SUMIF($AC$5:$AC7,U8,$AE$5:$AE7))),"")</f>
        <v>0</v>
      </c>
      <c r="AI8" s="22">
        <f>IFERROR(IF(V8="","",IFERROR(VLOOKUP(V8,'Bucket Status'!$A$4:$B$75,2,FALSE()),0)-(SUMIF($U$5:$U7,V8,$AK$5:$AK7)+SUMIF($V$5:$V7,V8,$AL$5:$AL7)+SUMIF($Y$5:$Y7,V8,$AA$5:$AA7)+SUMIF($AC$5:$AC7,V8,$AE$5:$AE7))),"")</f>
        <v>4.5999999999999996</v>
      </c>
      <c r="AJ8" s="23">
        <f t="shared" si="13"/>
        <v>4.5999999999999996</v>
      </c>
      <c r="AK8" s="21">
        <f t="shared" si="14"/>
        <v>0</v>
      </c>
      <c r="AL8" s="22">
        <f t="shared" si="15"/>
        <v>0</v>
      </c>
    </row>
    <row r="9" spans="1:38" ht="18" customHeight="1" x14ac:dyDescent="0.3">
      <c r="A9" s="3" t="s">
        <v>176</v>
      </c>
      <c r="B9" s="50">
        <v>46287</v>
      </c>
      <c r="C9" s="4"/>
      <c r="D9" s="5"/>
      <c r="E9" s="5"/>
      <c r="F9" s="6"/>
      <c r="G9" s="6"/>
      <c r="H9" s="7">
        <v>2.79</v>
      </c>
      <c r="I9" s="8">
        <f t="shared" si="0"/>
        <v>2.79</v>
      </c>
      <c r="J9" s="9">
        <f t="shared" si="1"/>
        <v>2.7199999999999989</v>
      </c>
      <c r="K9" s="10" t="str">
        <f t="shared" si="2"/>
        <v>0.910 kg M1G- (funnel)</v>
      </c>
      <c r="L9" s="11" t="str">
        <f t="shared" si="3"/>
        <v/>
      </c>
      <c r="M9" s="12" t="str">
        <f t="shared" si="4"/>
        <v>1.880 kg M1H-</v>
      </c>
      <c r="N9" s="13" t="str">
        <f t="shared" si="5"/>
        <v>0.000 kg M1E-</v>
      </c>
      <c r="O9" s="14" t="str">
        <f t="shared" si="6"/>
        <v>2.720 kg M1H-</v>
      </c>
      <c r="P9" s="15"/>
      <c r="Q9" s="16" t="str">
        <f t="shared" si="16"/>
        <v>M1</v>
      </c>
      <c r="R9" s="16" t="str">
        <f t="shared" si="17"/>
        <v>E</v>
      </c>
      <c r="S9" s="17" t="str">
        <f t="shared" si="18"/>
        <v>M1</v>
      </c>
      <c r="T9" s="17" t="str">
        <f t="shared" si="19"/>
        <v>H</v>
      </c>
      <c r="U9" s="16" t="str">
        <f t="shared" si="7"/>
        <v>M1E-</v>
      </c>
      <c r="V9" s="17" t="str">
        <f t="shared" si="8"/>
        <v>M1H-</v>
      </c>
      <c r="W9" s="18">
        <f t="shared" si="20"/>
        <v>0</v>
      </c>
      <c r="X9" s="18">
        <f t="shared" si="21"/>
        <v>0</v>
      </c>
      <c r="Y9" s="18" t="str">
        <f t="shared" si="22"/>
        <v/>
      </c>
      <c r="Z9" s="19">
        <f>IF(W9=1,MAX(0,MIN(Settings!$B$6,(IFERROR(VLOOKUP(U8,'Bucket Status'!$A$4:$B$75,2,FALSE()),0)-(SUMIF($U$5:$U8,U8,$AK$5:$AK8)+SUMIF($V$5:$V8,U8,$AL$5:$AL8)+SUMIF($Y$5:$Y8,U8,$AA$5:$AA8)+SUMIF($AC$5:$AC8,U8,$AE$5:$AE8))))),IF(AB8&gt;0,AB8,0))</f>
        <v>0</v>
      </c>
      <c r="AA9" s="19">
        <f t="shared" si="9"/>
        <v>0</v>
      </c>
      <c r="AB9" s="19">
        <f t="shared" si="10"/>
        <v>0</v>
      </c>
      <c r="AC9" s="18" t="str">
        <f t="shared" si="23"/>
        <v>M1G-</v>
      </c>
      <c r="AD9" s="19">
        <f>IF(X9=1,MAX(0,MIN(Settings!$B$6-Z9,(IFERROR(VLOOKUP(V8,'Bucket Status'!$A$4:$B$75,2,FALSE()),0)-(SUMIF($U$5:$U8,V8,$AK$5:$AK8)+SUMIF($V$5:$V8,V8,$AL$5:$AL8)+SUMIF($Y$5:$Y8,V8,$AA$5:$AA8)+SUMIF($AC$5:$AC8,V8,$AE$5:$AE8))))),IF(AF8&gt;0,AF8,0))</f>
        <v>0.90999999999999925</v>
      </c>
      <c r="AE9" s="19">
        <f t="shared" si="11"/>
        <v>0.90999999999999925</v>
      </c>
      <c r="AF9" s="19">
        <f t="shared" si="12"/>
        <v>0</v>
      </c>
      <c r="AG9" s="20">
        <f>IFERROR(IF(C9="Y",Settings!$B$4+Settings!$B$5,0),0)</f>
        <v>0</v>
      </c>
      <c r="AH9" s="21">
        <f>IFERROR(IF(U9="","",IFERROR(VLOOKUP(U9,'Bucket Status'!$A$4:$B$75,2,FALSE()),0)-(SUMIF($U$5:$U8,U9,$AK$5:$AK8)+SUMIF($V$5:$V8,U9,$AL$5:$AL8)+SUMIF($Y$5:$Y8,U9,$AA$5:$AA8)+SUMIF($AC$5:$AC8,U9,$AE$5:$AE8))),"")</f>
        <v>0</v>
      </c>
      <c r="AI9" s="22">
        <f>IFERROR(IF(V9="","",IFERROR(VLOOKUP(V9,'Bucket Status'!$A$4:$B$75,2,FALSE()),0)-(SUMIF($U$5:$U8,V9,$AK$5:$AK8)+SUMIF($V$5:$V8,V9,$AL$5:$AL8)+SUMIF($Y$5:$Y8,V9,$AA$5:$AA8)+SUMIF($AC$5:$AC8,V9,$AE$5:$AE8))),"")</f>
        <v>4.5999999999999996</v>
      </c>
      <c r="AJ9" s="23">
        <f t="shared" si="13"/>
        <v>4.5999999999999996</v>
      </c>
      <c r="AK9" s="21">
        <f t="shared" si="14"/>
        <v>0</v>
      </c>
      <c r="AL9" s="22">
        <f t="shared" si="15"/>
        <v>1.8800000000000008</v>
      </c>
    </row>
    <row r="10" spans="1:38" ht="18" customHeight="1" x14ac:dyDescent="0.3">
      <c r="A10" s="3" t="s">
        <v>178</v>
      </c>
      <c r="B10" s="50">
        <v>46289</v>
      </c>
      <c r="C10" s="4"/>
      <c r="D10" s="5" t="s">
        <v>177</v>
      </c>
      <c r="E10" s="5" t="s">
        <v>164</v>
      </c>
      <c r="F10" s="6" t="s">
        <v>177</v>
      </c>
      <c r="G10" s="6" t="s">
        <v>165</v>
      </c>
      <c r="H10" s="7">
        <v>3.36</v>
      </c>
      <c r="I10" s="8">
        <f t="shared" si="0"/>
        <v>3.36</v>
      </c>
      <c r="J10" s="9">
        <f t="shared" si="1"/>
        <v>9.41</v>
      </c>
      <c r="K10" s="10" t="str">
        <f t="shared" si="2"/>
        <v>2.720 kg M1H- (funnel)</v>
      </c>
      <c r="L10" s="11" t="str">
        <f t="shared" si="3"/>
        <v>0.640 kg M2E-</v>
      </c>
      <c r="M10" s="12" t="str">
        <f t="shared" si="4"/>
        <v/>
      </c>
      <c r="N10" s="13" t="str">
        <f t="shared" si="5"/>
        <v>4.290 kg M2E-</v>
      </c>
      <c r="O10" s="14" t="str">
        <f t="shared" si="6"/>
        <v>5.120 kg M2F-</v>
      </c>
      <c r="P10" s="15"/>
      <c r="Q10" s="16" t="str">
        <f t="shared" si="16"/>
        <v>M2</v>
      </c>
      <c r="R10" s="16" t="str">
        <f t="shared" si="17"/>
        <v>E</v>
      </c>
      <c r="S10" s="17" t="str">
        <f t="shared" si="18"/>
        <v>M2</v>
      </c>
      <c r="T10" s="17" t="str">
        <f t="shared" si="19"/>
        <v>F</v>
      </c>
      <c r="U10" s="16" t="str">
        <f t="shared" si="7"/>
        <v>M2E-</v>
      </c>
      <c r="V10" s="17" t="str">
        <f t="shared" si="8"/>
        <v>M2F-</v>
      </c>
      <c r="W10" s="18">
        <f t="shared" si="20"/>
        <v>1</v>
      </c>
      <c r="X10" s="18">
        <f t="shared" si="21"/>
        <v>1</v>
      </c>
      <c r="Y10" s="18" t="str">
        <f t="shared" si="22"/>
        <v>M1E-</v>
      </c>
      <c r="Z10" s="19">
        <f>IF(W10=1,MAX(0,MIN(Settings!$B$6,(IFERROR(VLOOKUP(U9,'Bucket Status'!$A$4:$B$75,2,FALSE()),0)-(SUMIF($U$5:$U9,U9,$AK$5:$AK9)+SUMIF($V$5:$V9,U9,$AL$5:$AL9)+SUMIF($Y$5:$Y9,U9,$AA$5:$AA9)+SUMIF($AC$5:$AC9,U9,$AE$5:$AE9))))),IF(AB9&gt;0,AB9,0))</f>
        <v>0</v>
      </c>
      <c r="AA10" s="19">
        <f t="shared" si="9"/>
        <v>0</v>
      </c>
      <c r="AB10" s="19">
        <f t="shared" si="10"/>
        <v>0</v>
      </c>
      <c r="AC10" s="18" t="str">
        <f t="shared" si="23"/>
        <v>M1H-</v>
      </c>
      <c r="AD10" s="19">
        <f>IF(X10=1,MAX(0,MIN(Settings!$B$6-Z10,(IFERROR(VLOOKUP(V9,'Bucket Status'!$A$4:$B$75,2,FALSE()),0)-(SUMIF($U$5:$U9,V9,$AK$5:$AK9)+SUMIF($V$5:$V9,V9,$AL$5:$AL9)+SUMIF($Y$5:$Y9,V9,$AA$5:$AA9)+SUMIF($AC$5:$AC9,V9,$AE$5:$AE9))))),IF(AF9&gt;0,AF9,0))</f>
        <v>2.7199999999999989</v>
      </c>
      <c r="AE10" s="19">
        <f t="shared" si="11"/>
        <v>2.7199999999999989</v>
      </c>
      <c r="AF10" s="19">
        <f t="shared" si="12"/>
        <v>0</v>
      </c>
      <c r="AG10" s="20">
        <f>IFERROR(IF(C10="Y",Settings!$B$4+Settings!$B$5,0),0)</f>
        <v>0</v>
      </c>
      <c r="AH10" s="21">
        <f>IFERROR(IF(U10="","",IFERROR(VLOOKUP(U10,'Bucket Status'!$A$4:$B$75,2,FALSE()),0)-(SUMIF($U$5:$U9,U10,$AK$5:$AK9)+SUMIF($V$5:$V9,U10,$AL$5:$AL9)+SUMIF($Y$5:$Y9,U10,$AA$5:$AA9)+SUMIF($AC$5:$AC9,U10,$AE$5:$AE9))),"")</f>
        <v>4.93</v>
      </c>
      <c r="AI10" s="22">
        <f>IFERROR(IF(V10="","",IFERROR(VLOOKUP(V10,'Bucket Status'!$A$4:$B$75,2,FALSE()),0)-(SUMIF($U$5:$U9,V10,$AK$5:$AK9)+SUMIF($V$5:$V9,V10,$AL$5:$AL9)+SUMIF($Y$5:$Y9,V10,$AA$5:$AA9)+SUMIF($AC$5:$AC9,V10,$AE$5:$AE9))),"")</f>
        <v>5.12</v>
      </c>
      <c r="AJ10" s="23">
        <f t="shared" si="13"/>
        <v>10.050000000000001</v>
      </c>
      <c r="AK10" s="21">
        <f t="shared" si="14"/>
        <v>0.64000000000000101</v>
      </c>
      <c r="AL10" s="22">
        <f t="shared" si="15"/>
        <v>0</v>
      </c>
    </row>
    <row r="11" spans="1:38" ht="18" customHeight="1" x14ac:dyDescent="0.3">
      <c r="A11" s="3" t="s">
        <v>181</v>
      </c>
      <c r="B11" s="50">
        <v>46290</v>
      </c>
      <c r="C11" s="4"/>
      <c r="D11" s="5"/>
      <c r="E11" s="5"/>
      <c r="F11" s="6"/>
      <c r="G11" s="6"/>
      <c r="H11" s="7">
        <v>1.48</v>
      </c>
      <c r="I11" s="8">
        <f t="shared" si="0"/>
        <v>1.48</v>
      </c>
      <c r="J11" s="9">
        <f t="shared" si="1"/>
        <v>7.93</v>
      </c>
      <c r="K11" s="10" t="str">
        <f t="shared" si="2"/>
        <v/>
      </c>
      <c r="L11" s="11" t="str">
        <f t="shared" si="3"/>
        <v>1.480 kg M2E-</v>
      </c>
      <c r="M11" s="12" t="str">
        <f t="shared" si="4"/>
        <v/>
      </c>
      <c r="N11" s="13" t="str">
        <f t="shared" si="5"/>
        <v>2.810 kg M2E-</v>
      </c>
      <c r="O11" s="14" t="str">
        <f t="shared" si="6"/>
        <v>5.120 kg M2F-</v>
      </c>
      <c r="P11" s="15"/>
      <c r="Q11" s="16" t="str">
        <f t="shared" si="16"/>
        <v>M2</v>
      </c>
      <c r="R11" s="16" t="str">
        <f t="shared" si="17"/>
        <v>E</v>
      </c>
      <c r="S11" s="17" t="str">
        <f t="shared" si="18"/>
        <v>M2</v>
      </c>
      <c r="T11" s="17" t="str">
        <f t="shared" si="19"/>
        <v>F</v>
      </c>
      <c r="U11" s="16" t="str">
        <f t="shared" si="7"/>
        <v>M2E-</v>
      </c>
      <c r="V11" s="17" t="str">
        <f t="shared" si="8"/>
        <v>M2F-</v>
      </c>
      <c r="W11" s="18">
        <f t="shared" si="20"/>
        <v>0</v>
      </c>
      <c r="X11" s="18">
        <f t="shared" si="21"/>
        <v>0</v>
      </c>
      <c r="Y11" s="18" t="str">
        <f t="shared" si="22"/>
        <v/>
      </c>
      <c r="Z11" s="19">
        <f>IF(W11=1,MAX(0,MIN(Settings!$B$6,(IFERROR(VLOOKUP(U10,'Bucket Status'!$A$4:$B$75,2,FALSE()),0)-(SUMIF($U$5:$U10,U10,$AK$5:$AK10)+SUMIF($V$5:$V10,U10,$AL$5:$AL10)+SUMIF($Y$5:$Y10,U10,$AA$5:$AA10)+SUMIF($AC$5:$AC10,U10,$AE$5:$AE10))))),IF(AB10&gt;0,AB10,0))</f>
        <v>0</v>
      </c>
      <c r="AA11" s="19">
        <f t="shared" si="9"/>
        <v>0</v>
      </c>
      <c r="AB11" s="19">
        <f t="shared" si="10"/>
        <v>0</v>
      </c>
      <c r="AC11" s="18" t="str">
        <f t="shared" si="23"/>
        <v/>
      </c>
      <c r="AD11" s="19">
        <f>IF(X11=1,MAX(0,MIN(Settings!$B$6-Z11,(IFERROR(VLOOKUP(V10,'Bucket Status'!$A$4:$B$75,2,FALSE()),0)-(SUMIF($U$5:$U10,V10,$AK$5:$AK10)+SUMIF($V$5:$V10,V10,$AL$5:$AL10)+SUMIF($Y$5:$Y10,V10,$AA$5:$AA10)+SUMIF($AC$5:$AC10,V10,$AE$5:$AE10))))),IF(AF10&gt;0,AF10,0))</f>
        <v>0</v>
      </c>
      <c r="AE11" s="19">
        <f t="shared" si="11"/>
        <v>0</v>
      </c>
      <c r="AF11" s="19">
        <f t="shared" si="12"/>
        <v>0</v>
      </c>
      <c r="AG11" s="20">
        <f>IFERROR(IF(C11="Y",Settings!$B$4+Settings!$B$5,0),0)</f>
        <v>0</v>
      </c>
      <c r="AH11" s="21">
        <f>IFERROR(IF(U11="","",IFERROR(VLOOKUP(U11,'Bucket Status'!$A$4:$B$75,2,FALSE()),0)-(SUMIF($U$5:$U10,U11,$AK$5:$AK10)+SUMIF($V$5:$V10,U11,$AL$5:$AL10)+SUMIF($Y$5:$Y10,U11,$AA$5:$AA10)+SUMIF($AC$5:$AC10,U11,$AE$5:$AE10))),"")</f>
        <v>4.2899999999999991</v>
      </c>
      <c r="AI11" s="22">
        <f>IFERROR(IF(V11="","",IFERROR(VLOOKUP(V11,'Bucket Status'!$A$4:$B$75,2,FALSE()),0)-(SUMIF($U$5:$U10,V11,$AK$5:$AK10)+SUMIF($V$5:$V10,V11,$AL$5:$AL10)+SUMIF($Y$5:$Y10,V11,$AA$5:$AA10)+SUMIF($AC$5:$AC10,V11,$AE$5:$AE10))),"")</f>
        <v>5.12</v>
      </c>
      <c r="AJ11" s="23">
        <f t="shared" si="13"/>
        <v>9.41</v>
      </c>
      <c r="AK11" s="21">
        <f t="shared" si="14"/>
        <v>1.48</v>
      </c>
      <c r="AL11" s="22">
        <f t="shared" si="15"/>
        <v>0</v>
      </c>
    </row>
    <row r="12" spans="1:38" ht="18" customHeight="1" x14ac:dyDescent="0.3">
      <c r="A12" s="3" t="s">
        <v>182</v>
      </c>
      <c r="B12" s="50">
        <v>46290</v>
      </c>
      <c r="C12" s="4"/>
      <c r="D12" s="5"/>
      <c r="E12" s="5"/>
      <c r="F12" s="6"/>
      <c r="G12" s="6"/>
      <c r="H12" s="7">
        <v>3.55</v>
      </c>
      <c r="I12" s="8">
        <f t="shared" si="0"/>
        <v>3.55</v>
      </c>
      <c r="J12" s="9">
        <f t="shared" si="1"/>
        <v>4.379999999999999</v>
      </c>
      <c r="K12" s="10" t="str">
        <f t="shared" si="2"/>
        <v/>
      </c>
      <c r="L12" s="11" t="str">
        <f t="shared" si="3"/>
        <v>2.810 kg M2E-</v>
      </c>
      <c r="M12" s="12" t="str">
        <f t="shared" si="4"/>
        <v>0.740 kg M2F-</v>
      </c>
      <c r="N12" s="13" t="str">
        <f t="shared" si="5"/>
        <v>0.000 kg M2E-</v>
      </c>
      <c r="O12" s="14" t="str">
        <f t="shared" si="6"/>
        <v>4.380 kg M2F-</v>
      </c>
      <c r="P12" s="15"/>
      <c r="Q12" s="16" t="str">
        <f t="shared" si="16"/>
        <v>M2</v>
      </c>
      <c r="R12" s="16" t="str">
        <f t="shared" si="17"/>
        <v>E</v>
      </c>
      <c r="S12" s="17" t="str">
        <f t="shared" si="18"/>
        <v>M2</v>
      </c>
      <c r="T12" s="17" t="str">
        <f t="shared" si="19"/>
        <v>F</v>
      </c>
      <c r="U12" s="16" t="str">
        <f t="shared" si="7"/>
        <v>M2E-</v>
      </c>
      <c r="V12" s="17" t="str">
        <f t="shared" si="8"/>
        <v>M2F-</v>
      </c>
      <c r="W12" s="18">
        <f t="shared" si="20"/>
        <v>0</v>
      </c>
      <c r="X12" s="18">
        <f t="shared" si="21"/>
        <v>0</v>
      </c>
      <c r="Y12" s="18" t="str">
        <f t="shared" si="22"/>
        <v/>
      </c>
      <c r="Z12" s="19">
        <f>IF(W12=1,MAX(0,MIN(Settings!$B$6,(IFERROR(VLOOKUP(U11,'Bucket Status'!$A$4:$B$75,2,FALSE()),0)-(SUMIF($U$5:$U11,U11,$AK$5:$AK11)+SUMIF($V$5:$V11,U11,$AL$5:$AL11)+SUMIF($Y$5:$Y11,U11,$AA$5:$AA11)+SUMIF($AC$5:$AC11,U11,$AE$5:$AE11))))),IF(AB11&gt;0,AB11,0))</f>
        <v>0</v>
      </c>
      <c r="AA12" s="19">
        <f t="shared" si="9"/>
        <v>0</v>
      </c>
      <c r="AB12" s="19">
        <f t="shared" si="10"/>
        <v>0</v>
      </c>
      <c r="AC12" s="18" t="str">
        <f t="shared" si="23"/>
        <v/>
      </c>
      <c r="AD12" s="19">
        <f>IF(X12=1,MAX(0,MIN(Settings!$B$6-Z12,(IFERROR(VLOOKUP(V11,'Bucket Status'!$A$4:$B$75,2,FALSE()),0)-(SUMIF($U$5:$U11,V11,$AK$5:$AK11)+SUMIF($V$5:$V11,V11,$AL$5:$AL11)+SUMIF($Y$5:$Y11,V11,$AA$5:$AA11)+SUMIF($AC$5:$AC11,V11,$AE$5:$AE11))))),IF(AF11&gt;0,AF11,0))</f>
        <v>0</v>
      </c>
      <c r="AE12" s="19">
        <f t="shared" si="11"/>
        <v>0</v>
      </c>
      <c r="AF12" s="19">
        <f t="shared" si="12"/>
        <v>0</v>
      </c>
      <c r="AG12" s="20">
        <f>IFERROR(IF(C12="Y",Settings!$B$4+Settings!$B$5,0),0)</f>
        <v>0</v>
      </c>
      <c r="AH12" s="21">
        <f>IFERROR(IF(U12="","",IFERROR(VLOOKUP(U12,'Bucket Status'!$A$4:$B$75,2,FALSE()),0)-(SUMIF($U$5:$U11,U12,$AK$5:$AK11)+SUMIF($V$5:$V11,U12,$AL$5:$AL11)+SUMIF($Y$5:$Y11,U12,$AA$5:$AA11)+SUMIF($AC$5:$AC11,U12,$AE$5:$AE11))),"")</f>
        <v>2.8099999999999987</v>
      </c>
      <c r="AI12" s="22">
        <f>IFERROR(IF(V12="","",IFERROR(VLOOKUP(V12,'Bucket Status'!$A$4:$B$75,2,FALSE()),0)-(SUMIF($U$5:$U11,V12,$AK$5:$AK11)+SUMIF($V$5:$V11,V12,$AL$5:$AL11)+SUMIF($Y$5:$Y11,V12,$AA$5:$AA11)+SUMIF($AC$5:$AC11,V12,$AE$5:$AE11))),"")</f>
        <v>5.12</v>
      </c>
      <c r="AJ12" s="23">
        <f t="shared" si="13"/>
        <v>7.9299999999999988</v>
      </c>
      <c r="AK12" s="21">
        <f t="shared" si="14"/>
        <v>2.8099999999999987</v>
      </c>
      <c r="AL12" s="22">
        <f t="shared" si="15"/>
        <v>0.7400000000000011</v>
      </c>
    </row>
    <row r="13" spans="1:38" ht="18" customHeight="1" x14ac:dyDescent="0.3">
      <c r="A13" s="3" t="s">
        <v>184</v>
      </c>
      <c r="B13" s="50">
        <v>46294</v>
      </c>
      <c r="C13" s="4"/>
      <c r="D13" s="5" t="s">
        <v>177</v>
      </c>
      <c r="E13" s="5" t="s">
        <v>169</v>
      </c>
      <c r="F13" s="6"/>
      <c r="G13" s="6"/>
      <c r="H13" s="7">
        <v>3.68</v>
      </c>
      <c r="I13" s="8">
        <f t="shared" si="0"/>
        <v>3.68</v>
      </c>
      <c r="J13" s="9">
        <f t="shared" si="1"/>
        <v>5.6</v>
      </c>
      <c r="K13" s="10" t="str">
        <f t="shared" si="2"/>
        <v/>
      </c>
      <c r="L13" s="11" t="str">
        <f t="shared" si="3"/>
        <v>3.680 kg M2G-</v>
      </c>
      <c r="M13" s="12" t="str">
        <f t="shared" si="4"/>
        <v/>
      </c>
      <c r="N13" s="13" t="str">
        <f t="shared" si="5"/>
        <v>1.220 kg M2G-</v>
      </c>
      <c r="O13" s="14" t="str">
        <f t="shared" si="6"/>
        <v>4.380 kg M2F-</v>
      </c>
      <c r="P13" s="15"/>
      <c r="Q13" s="16" t="str">
        <f t="shared" si="16"/>
        <v>M2</v>
      </c>
      <c r="R13" s="16" t="str">
        <f t="shared" si="17"/>
        <v>G</v>
      </c>
      <c r="S13" s="17" t="str">
        <f t="shared" si="18"/>
        <v>M2</v>
      </c>
      <c r="T13" s="17" t="str">
        <f t="shared" si="19"/>
        <v>F</v>
      </c>
      <c r="U13" s="16" t="str">
        <f t="shared" si="7"/>
        <v>M2G-</v>
      </c>
      <c r="V13" s="17" t="str">
        <f t="shared" si="8"/>
        <v>M2F-</v>
      </c>
      <c r="W13" s="18">
        <f t="shared" si="20"/>
        <v>1</v>
      </c>
      <c r="X13" s="18">
        <f t="shared" si="21"/>
        <v>0</v>
      </c>
      <c r="Y13" s="18" t="str">
        <f t="shared" si="22"/>
        <v>M2E-</v>
      </c>
      <c r="Z13" s="19">
        <f>IF(W13=1,MAX(0,MIN(Settings!$B$6,(IFERROR(VLOOKUP(U12,'Bucket Status'!$A$4:$B$75,2,FALSE()),0)-(SUMIF($U$5:$U12,U12,$AK$5:$AK12)+SUMIF($V$5:$V12,U12,$AL$5:$AL12)+SUMIF($Y$5:$Y12,U12,$AA$5:$AA12)+SUMIF($AC$5:$AC12,U12,$AE$5:$AE12))))),IF(AB12&gt;0,AB12,0))</f>
        <v>0</v>
      </c>
      <c r="AA13" s="19">
        <f t="shared" si="9"/>
        <v>0</v>
      </c>
      <c r="AB13" s="19">
        <f t="shared" si="10"/>
        <v>0</v>
      </c>
      <c r="AC13" s="18" t="str">
        <f t="shared" si="23"/>
        <v/>
      </c>
      <c r="AD13" s="19">
        <f>IF(X13=1,MAX(0,MIN(Settings!$B$6-Z13,(IFERROR(VLOOKUP(V12,'Bucket Status'!$A$4:$B$75,2,FALSE()),0)-(SUMIF($U$5:$U12,V12,$AK$5:$AK12)+SUMIF($V$5:$V12,V12,$AL$5:$AL12)+SUMIF($Y$5:$Y12,V12,$AA$5:$AA12)+SUMIF($AC$5:$AC12,V12,$AE$5:$AE12))))),IF(AF12&gt;0,AF12,0))</f>
        <v>0</v>
      </c>
      <c r="AE13" s="19">
        <f t="shared" si="11"/>
        <v>0</v>
      </c>
      <c r="AF13" s="19">
        <f t="shared" si="12"/>
        <v>0</v>
      </c>
      <c r="AG13" s="20">
        <f>IFERROR(IF(C13="Y",Settings!$B$4+Settings!$B$5,0),0)</f>
        <v>0</v>
      </c>
      <c r="AH13" s="21">
        <f>IFERROR(IF(U13="","",IFERROR(VLOOKUP(U13,'Bucket Status'!$A$4:$B$75,2,FALSE()),0)-(SUMIF($U$5:$U12,U13,$AK$5:$AK12)+SUMIF($V$5:$V12,U13,$AL$5:$AL12)+SUMIF($Y$5:$Y12,U13,$AA$5:$AA12)+SUMIF($AC$5:$AC12,U13,$AE$5:$AE12))),"")</f>
        <v>4.9000000000000004</v>
      </c>
      <c r="AI13" s="22">
        <f>IFERROR(IF(V13="","",IFERROR(VLOOKUP(V13,'Bucket Status'!$A$4:$B$75,2,FALSE()),0)-(SUMIF($U$5:$U12,V13,$AK$5:$AK12)+SUMIF($V$5:$V12,V13,$AL$5:$AL12)+SUMIF($Y$5:$Y12,V13,$AA$5:$AA12)+SUMIF($AC$5:$AC12,V13,$AE$5:$AE12))),"")</f>
        <v>4.379999999999999</v>
      </c>
      <c r="AJ13" s="23">
        <f t="shared" si="13"/>
        <v>9.2799999999999994</v>
      </c>
      <c r="AK13" s="21">
        <f t="shared" si="14"/>
        <v>3.68</v>
      </c>
      <c r="AL13" s="22">
        <f t="shared" si="15"/>
        <v>0</v>
      </c>
    </row>
    <row r="14" spans="1:38" ht="18" customHeight="1" x14ac:dyDescent="0.3">
      <c r="A14" s="3" t="s">
        <v>185</v>
      </c>
      <c r="B14" s="50">
        <v>46295</v>
      </c>
      <c r="C14" s="4"/>
      <c r="D14" s="5"/>
      <c r="E14" s="5"/>
      <c r="F14" s="6"/>
      <c r="G14" s="6"/>
      <c r="H14" s="7">
        <v>2.16</v>
      </c>
      <c r="I14" s="8">
        <f t="shared" si="0"/>
        <v>2.16</v>
      </c>
      <c r="J14" s="9">
        <f t="shared" si="1"/>
        <v>3.4399999999999995</v>
      </c>
      <c r="K14" s="10" t="str">
        <f t="shared" si="2"/>
        <v/>
      </c>
      <c r="L14" s="11" t="str">
        <f t="shared" si="3"/>
        <v>1.220 kg M2G-</v>
      </c>
      <c r="M14" s="12" t="str">
        <f t="shared" si="4"/>
        <v>0.940 kg M2F-</v>
      </c>
      <c r="N14" s="13" t="str">
        <f t="shared" si="5"/>
        <v>0.000 kg M2G-</v>
      </c>
      <c r="O14" s="14" t="str">
        <f t="shared" si="6"/>
        <v>3.440 kg M2F-</v>
      </c>
      <c r="P14" s="15"/>
      <c r="Q14" s="16" t="str">
        <f t="shared" si="16"/>
        <v>M2</v>
      </c>
      <c r="R14" s="16" t="str">
        <f t="shared" si="17"/>
        <v>G</v>
      </c>
      <c r="S14" s="17" t="str">
        <f t="shared" si="18"/>
        <v>M2</v>
      </c>
      <c r="T14" s="17" t="str">
        <f t="shared" si="19"/>
        <v>F</v>
      </c>
      <c r="U14" s="16" t="str">
        <f t="shared" si="7"/>
        <v>M2G-</v>
      </c>
      <c r="V14" s="17" t="str">
        <f t="shared" si="8"/>
        <v>M2F-</v>
      </c>
      <c r="W14" s="18">
        <f t="shared" si="20"/>
        <v>0</v>
      </c>
      <c r="X14" s="18">
        <f t="shared" si="21"/>
        <v>0</v>
      </c>
      <c r="Y14" s="18" t="str">
        <f t="shared" si="22"/>
        <v/>
      </c>
      <c r="Z14" s="19">
        <f>IF(W14=1,MAX(0,MIN(Settings!$B$6,(IFERROR(VLOOKUP(U13,'Bucket Status'!$A$4:$B$75,2,FALSE()),0)-(SUMIF($U$5:$U13,U13,$AK$5:$AK13)+SUMIF($V$5:$V13,U13,$AL$5:$AL13)+SUMIF($Y$5:$Y13,U13,$AA$5:$AA13)+SUMIF($AC$5:$AC13,U13,$AE$5:$AE13))))),IF(AB13&gt;0,AB13,0))</f>
        <v>0</v>
      </c>
      <c r="AA14" s="19">
        <f t="shared" si="9"/>
        <v>0</v>
      </c>
      <c r="AB14" s="19">
        <f t="shared" si="10"/>
        <v>0</v>
      </c>
      <c r="AC14" s="18" t="str">
        <f t="shared" si="23"/>
        <v/>
      </c>
      <c r="AD14" s="19">
        <f>IF(X14=1,MAX(0,MIN(Settings!$B$6-Z14,(IFERROR(VLOOKUP(V13,'Bucket Status'!$A$4:$B$75,2,FALSE()),0)-(SUMIF($U$5:$U13,V13,$AK$5:$AK13)+SUMIF($V$5:$V13,V13,$AL$5:$AL13)+SUMIF($Y$5:$Y13,V13,$AA$5:$AA13)+SUMIF($AC$5:$AC13,V13,$AE$5:$AE13))))),IF(AF13&gt;0,AF13,0))</f>
        <v>0</v>
      </c>
      <c r="AE14" s="19">
        <f t="shared" si="11"/>
        <v>0</v>
      </c>
      <c r="AF14" s="19">
        <f t="shared" si="12"/>
        <v>0</v>
      </c>
      <c r="AG14" s="20">
        <f>IFERROR(IF(C14="Y",Settings!$B$4+Settings!$B$5,0),0)</f>
        <v>0</v>
      </c>
      <c r="AH14" s="21">
        <f>IFERROR(IF(U14="","",IFERROR(VLOOKUP(U14,'Bucket Status'!$A$4:$B$75,2,FALSE()),0)-(SUMIF($U$5:$U13,U14,$AK$5:$AK13)+SUMIF($V$5:$V13,U14,$AL$5:$AL13)+SUMIF($Y$5:$Y13,U14,$AA$5:$AA13)+SUMIF($AC$5:$AC13,U14,$AE$5:$AE13))),"")</f>
        <v>1.2200000000000002</v>
      </c>
      <c r="AI14" s="22">
        <f>IFERROR(IF(V14="","",IFERROR(VLOOKUP(V14,'Bucket Status'!$A$4:$B$75,2,FALSE()),0)-(SUMIF($U$5:$U13,V14,$AK$5:$AK13)+SUMIF($V$5:$V13,V14,$AL$5:$AL13)+SUMIF($Y$5:$Y13,V14,$AA$5:$AA13)+SUMIF($AC$5:$AC13,V14,$AE$5:$AE13))),"")</f>
        <v>4.379999999999999</v>
      </c>
      <c r="AJ14" s="23">
        <f t="shared" si="13"/>
        <v>5.6</v>
      </c>
      <c r="AK14" s="21">
        <f t="shared" si="14"/>
        <v>1.2200000000000002</v>
      </c>
      <c r="AL14" s="22">
        <f t="shared" si="15"/>
        <v>0.94</v>
      </c>
    </row>
    <row r="15" spans="1:38" ht="18" customHeight="1" x14ac:dyDescent="0.3">
      <c r="A15" s="3" t="s">
        <v>187</v>
      </c>
      <c r="B15" s="50">
        <v>46296</v>
      </c>
      <c r="C15" s="4"/>
      <c r="D15" s="5"/>
      <c r="E15" s="5"/>
      <c r="F15" s="6"/>
      <c r="G15" s="6"/>
      <c r="H15" s="7">
        <v>1.29</v>
      </c>
      <c r="I15" s="8">
        <f t="shared" si="0"/>
        <v>1.29</v>
      </c>
      <c r="J15" s="9">
        <f t="shared" si="1"/>
        <v>2.149999999999999</v>
      </c>
      <c r="K15" s="10" t="str">
        <f t="shared" si="2"/>
        <v/>
      </c>
      <c r="L15" s="11" t="str">
        <f t="shared" si="3"/>
        <v/>
      </c>
      <c r="M15" s="12" t="str">
        <f t="shared" si="4"/>
        <v>1.290 kg M2F-</v>
      </c>
      <c r="N15" s="13" t="str">
        <f t="shared" si="5"/>
        <v>0.000 kg M2G-</v>
      </c>
      <c r="O15" s="14" t="str">
        <f t="shared" si="6"/>
        <v>2.150 kg M2F-</v>
      </c>
      <c r="P15" s="15"/>
      <c r="Q15" s="16" t="str">
        <f t="shared" si="16"/>
        <v>M2</v>
      </c>
      <c r="R15" s="16" t="str">
        <f t="shared" si="17"/>
        <v>G</v>
      </c>
      <c r="S15" s="17" t="str">
        <f t="shared" si="18"/>
        <v>M2</v>
      </c>
      <c r="T15" s="17" t="str">
        <f t="shared" si="19"/>
        <v>F</v>
      </c>
      <c r="U15" s="16" t="str">
        <f t="shared" si="7"/>
        <v>M2G-</v>
      </c>
      <c r="V15" s="17" t="str">
        <f t="shared" si="8"/>
        <v>M2F-</v>
      </c>
      <c r="W15" s="18">
        <f t="shared" si="20"/>
        <v>0</v>
      </c>
      <c r="X15" s="18">
        <f t="shared" si="21"/>
        <v>0</v>
      </c>
      <c r="Y15" s="18" t="str">
        <f t="shared" si="22"/>
        <v/>
      </c>
      <c r="Z15" s="19">
        <f>IF(W15=1,MAX(0,MIN(Settings!$B$6,(IFERROR(VLOOKUP(U14,'Bucket Status'!$A$4:$B$75,2,FALSE()),0)-(SUMIF($U$5:$U14,U14,$AK$5:$AK14)+SUMIF($V$5:$V14,U14,$AL$5:$AL14)+SUMIF($Y$5:$Y14,U14,$AA$5:$AA14)+SUMIF($AC$5:$AC14,U14,$AE$5:$AE14))))),IF(AB14&gt;0,AB14,0))</f>
        <v>0</v>
      </c>
      <c r="AA15" s="19">
        <f t="shared" si="9"/>
        <v>0</v>
      </c>
      <c r="AB15" s="19">
        <f t="shared" si="10"/>
        <v>0</v>
      </c>
      <c r="AC15" s="18" t="str">
        <f t="shared" si="23"/>
        <v/>
      </c>
      <c r="AD15" s="19">
        <f>IF(X15=1,MAX(0,MIN(Settings!$B$6-Z15,(IFERROR(VLOOKUP(V14,'Bucket Status'!$A$4:$B$75,2,FALSE()),0)-(SUMIF($U$5:$U14,V14,$AK$5:$AK14)+SUMIF($V$5:$V14,V14,$AL$5:$AL14)+SUMIF($Y$5:$Y14,V14,$AA$5:$AA14)+SUMIF($AC$5:$AC14,V14,$AE$5:$AE14))))),IF(AF14&gt;0,AF14,0))</f>
        <v>0</v>
      </c>
      <c r="AE15" s="19">
        <f t="shared" si="11"/>
        <v>0</v>
      </c>
      <c r="AF15" s="19">
        <f t="shared" si="12"/>
        <v>0</v>
      </c>
      <c r="AG15" s="20">
        <f>IFERROR(IF(C15="Y",Settings!$B$4+Settings!$B$5,0),0)</f>
        <v>0</v>
      </c>
      <c r="AH15" s="21">
        <f>IFERROR(IF(U15="","",IFERROR(VLOOKUP(U15,'Bucket Status'!$A$4:$B$75,2,FALSE()),0)-(SUMIF($U$5:$U14,U15,$AK$5:$AK14)+SUMIF($V$5:$V14,U15,$AL$5:$AL14)+SUMIF($Y$5:$Y14,U15,$AA$5:$AA14)+SUMIF($AC$5:$AC14,U15,$AE$5:$AE14))),"")</f>
        <v>0</v>
      </c>
      <c r="AI15" s="22">
        <f>IFERROR(IF(V15="","",IFERROR(VLOOKUP(V15,'Bucket Status'!$A$4:$B$75,2,FALSE()),0)-(SUMIF($U$5:$U14,V15,$AK$5:$AK14)+SUMIF($V$5:$V14,V15,$AL$5:$AL14)+SUMIF($Y$5:$Y14,V15,$AA$5:$AA14)+SUMIF($AC$5:$AC14,V15,$AE$5:$AE14))),"")</f>
        <v>3.4399999999999991</v>
      </c>
      <c r="AJ15" s="23">
        <f t="shared" si="13"/>
        <v>3.4399999999999991</v>
      </c>
      <c r="AK15" s="21">
        <f t="shared" si="14"/>
        <v>0</v>
      </c>
      <c r="AL15" s="22">
        <f t="shared" si="15"/>
        <v>1.29</v>
      </c>
    </row>
    <row r="16" spans="1:38" ht="18" customHeight="1" x14ac:dyDescent="0.3">
      <c r="A16" s="3" t="s">
        <v>189</v>
      </c>
      <c r="B16" s="50">
        <v>46297</v>
      </c>
      <c r="C16" s="4"/>
      <c r="D16" s="5"/>
      <c r="E16" s="5"/>
      <c r="F16" s="6" t="s">
        <v>177</v>
      </c>
      <c r="G16" s="6" t="s">
        <v>174</v>
      </c>
      <c r="H16" s="7">
        <v>4.7</v>
      </c>
      <c r="I16" s="8">
        <f t="shared" si="0"/>
        <v>4.7</v>
      </c>
      <c r="J16" s="9">
        <f t="shared" si="1"/>
        <v>2.399999999999999</v>
      </c>
      <c r="K16" s="10" t="str">
        <f t="shared" si="2"/>
        <v>2.150 kg M2F- (funnel)</v>
      </c>
      <c r="L16" s="11" t="str">
        <f t="shared" si="3"/>
        <v/>
      </c>
      <c r="M16" s="12" t="str">
        <f t="shared" si="4"/>
        <v>2.550 kg M2H-</v>
      </c>
      <c r="N16" s="13" t="str">
        <f t="shared" si="5"/>
        <v>0.000 kg M2G-</v>
      </c>
      <c r="O16" s="14" t="str">
        <f t="shared" si="6"/>
        <v>2.400 kg M2H-</v>
      </c>
      <c r="P16" s="15"/>
      <c r="Q16" s="16" t="str">
        <f t="shared" si="16"/>
        <v>M2</v>
      </c>
      <c r="R16" s="16" t="str">
        <f t="shared" si="17"/>
        <v>G</v>
      </c>
      <c r="S16" s="17" t="str">
        <f t="shared" si="18"/>
        <v>M2</v>
      </c>
      <c r="T16" s="17" t="str">
        <f t="shared" si="19"/>
        <v>H</v>
      </c>
      <c r="U16" s="16" t="str">
        <f t="shared" si="7"/>
        <v>M2G-</v>
      </c>
      <c r="V16" s="17" t="str">
        <f t="shared" si="8"/>
        <v>M2H-</v>
      </c>
      <c r="W16" s="18">
        <f t="shared" si="20"/>
        <v>0</v>
      </c>
      <c r="X16" s="18">
        <f t="shared" si="21"/>
        <v>1</v>
      </c>
      <c r="Y16" s="18" t="str">
        <f t="shared" si="22"/>
        <v/>
      </c>
      <c r="Z16" s="19">
        <f>IF(W16=1,MAX(0,MIN(Settings!$B$6,(IFERROR(VLOOKUP(U15,'Bucket Status'!$A$4:$B$75,2,FALSE()),0)-(SUMIF($U$5:$U15,U15,$AK$5:$AK15)+SUMIF($V$5:$V15,U15,$AL$5:$AL15)+SUMIF($Y$5:$Y15,U15,$AA$5:$AA15)+SUMIF($AC$5:$AC15,U15,$AE$5:$AE15))))),IF(AB15&gt;0,AB15,0))</f>
        <v>0</v>
      </c>
      <c r="AA16" s="19">
        <f t="shared" si="9"/>
        <v>0</v>
      </c>
      <c r="AB16" s="19">
        <f t="shared" si="10"/>
        <v>0</v>
      </c>
      <c r="AC16" s="18" t="str">
        <f t="shared" si="23"/>
        <v>M2F-</v>
      </c>
      <c r="AD16" s="19">
        <f>IF(X16=1,MAX(0,MIN(Settings!$B$6-Z16,(IFERROR(VLOOKUP(V15,'Bucket Status'!$A$4:$B$75,2,FALSE()),0)-(SUMIF($U$5:$U15,V15,$AK$5:$AK15)+SUMIF($V$5:$V15,V15,$AL$5:$AL15)+SUMIF($Y$5:$Y15,V15,$AA$5:$AA15)+SUMIF($AC$5:$AC15,V15,$AE$5:$AE15))))),IF(AF15&gt;0,AF15,0))</f>
        <v>2.149999999999999</v>
      </c>
      <c r="AE16" s="19">
        <f t="shared" si="11"/>
        <v>2.149999999999999</v>
      </c>
      <c r="AF16" s="19">
        <f t="shared" si="12"/>
        <v>0</v>
      </c>
      <c r="AG16" s="20">
        <f>IFERROR(IF(C16="Y",Settings!$B$4+Settings!$B$5,0),0)</f>
        <v>0</v>
      </c>
      <c r="AH16" s="21">
        <f>IFERROR(IF(U16="","",IFERROR(VLOOKUP(U16,'Bucket Status'!$A$4:$B$75,2,FALSE()),0)-(SUMIF($U$5:$U15,U16,$AK$5:$AK15)+SUMIF($V$5:$V15,U16,$AL$5:$AL15)+SUMIF($Y$5:$Y15,U16,$AA$5:$AA15)+SUMIF($AC$5:$AC15,U16,$AE$5:$AE15))),"")</f>
        <v>0</v>
      </c>
      <c r="AI16" s="22">
        <f>IFERROR(IF(V16="","",IFERROR(VLOOKUP(V16,'Bucket Status'!$A$4:$B$75,2,FALSE()),0)-(SUMIF($U$5:$U15,V16,$AK$5:$AK15)+SUMIF($V$5:$V15,V16,$AL$5:$AL15)+SUMIF($Y$5:$Y15,V16,$AA$5:$AA15)+SUMIF($AC$5:$AC15,V16,$AE$5:$AE15))),"")</f>
        <v>4.95</v>
      </c>
      <c r="AJ16" s="23">
        <f t="shared" si="13"/>
        <v>4.95</v>
      </c>
      <c r="AK16" s="21">
        <f t="shared" si="14"/>
        <v>0</v>
      </c>
      <c r="AL16" s="22">
        <f t="shared" si="15"/>
        <v>2.5500000000000012</v>
      </c>
    </row>
    <row r="17" spans="1:38" ht="18" customHeight="1" x14ac:dyDescent="0.3">
      <c r="A17" s="3" t="s">
        <v>192</v>
      </c>
      <c r="B17" s="50">
        <v>46300</v>
      </c>
      <c r="C17" s="4"/>
      <c r="D17" s="5" t="s">
        <v>191</v>
      </c>
      <c r="E17" s="5" t="s">
        <v>164</v>
      </c>
      <c r="F17" s="6" t="s">
        <v>191</v>
      </c>
      <c r="G17" s="6" t="s">
        <v>165</v>
      </c>
      <c r="H17" s="7">
        <v>5.93</v>
      </c>
      <c r="I17" s="8">
        <f t="shared" si="0"/>
        <v>5.93</v>
      </c>
      <c r="J17" s="9">
        <f t="shared" si="1"/>
        <v>6.57</v>
      </c>
      <c r="K17" s="10" t="str">
        <f t="shared" si="2"/>
        <v>2.400 kg M2H- (funnel)</v>
      </c>
      <c r="L17" s="11" t="str">
        <f t="shared" si="3"/>
        <v>3.530 kg M3E-</v>
      </c>
      <c r="M17" s="12" t="str">
        <f t="shared" si="4"/>
        <v/>
      </c>
      <c r="N17" s="13" t="str">
        <f t="shared" si="5"/>
        <v>1.620 kg M3E-</v>
      </c>
      <c r="O17" s="14" t="str">
        <f t="shared" si="6"/>
        <v>4.950 kg M3F-</v>
      </c>
      <c r="P17" s="15"/>
      <c r="Q17" s="16" t="str">
        <f t="shared" si="16"/>
        <v>M3</v>
      </c>
      <c r="R17" s="16" t="str">
        <f t="shared" si="17"/>
        <v>E</v>
      </c>
      <c r="S17" s="17" t="str">
        <f t="shared" si="18"/>
        <v>M3</v>
      </c>
      <c r="T17" s="17" t="str">
        <f t="shared" si="19"/>
        <v>F</v>
      </c>
      <c r="U17" s="16" t="str">
        <f t="shared" si="7"/>
        <v>M3E-</v>
      </c>
      <c r="V17" s="17" t="str">
        <f t="shared" si="8"/>
        <v>M3F-</v>
      </c>
      <c r="W17" s="18">
        <f t="shared" si="20"/>
        <v>1</v>
      </c>
      <c r="X17" s="18">
        <f t="shared" si="21"/>
        <v>1</v>
      </c>
      <c r="Y17" s="18" t="str">
        <f t="shared" si="22"/>
        <v>M2G-</v>
      </c>
      <c r="Z17" s="19">
        <f>IF(W17=1,MAX(0,MIN(Settings!$B$6,(IFERROR(VLOOKUP(U16,'Bucket Status'!$A$4:$B$75,2,FALSE()),0)-(SUMIF($U$5:$U16,U16,$AK$5:$AK16)+SUMIF($V$5:$V16,U16,$AL$5:$AL16)+SUMIF($Y$5:$Y16,U16,$AA$5:$AA16)+SUMIF($AC$5:$AC16,U16,$AE$5:$AE16))))),IF(AB16&gt;0,AB16,0))</f>
        <v>0</v>
      </c>
      <c r="AA17" s="19">
        <f t="shared" si="9"/>
        <v>0</v>
      </c>
      <c r="AB17" s="19">
        <f t="shared" si="10"/>
        <v>0</v>
      </c>
      <c r="AC17" s="18" t="str">
        <f t="shared" si="23"/>
        <v>M2H-</v>
      </c>
      <c r="AD17" s="19">
        <f>IF(X17=1,MAX(0,MIN(Settings!$B$6-Z17,(IFERROR(VLOOKUP(V16,'Bucket Status'!$A$4:$B$75,2,FALSE()),0)-(SUMIF($U$5:$U16,V16,$AK$5:$AK16)+SUMIF($V$5:$V16,V16,$AL$5:$AL16)+SUMIF($Y$5:$Y16,V16,$AA$5:$AA16)+SUMIF($AC$5:$AC16,V16,$AE$5:$AE16))))),IF(AF16&gt;0,AF16,0))</f>
        <v>2.399999999999999</v>
      </c>
      <c r="AE17" s="19">
        <f t="shared" si="11"/>
        <v>2.399999999999999</v>
      </c>
      <c r="AF17" s="19">
        <f t="shared" si="12"/>
        <v>0</v>
      </c>
      <c r="AG17" s="20">
        <f>IFERROR(IF(C17="Y",Settings!$B$4+Settings!$B$5,0),0)</f>
        <v>0</v>
      </c>
      <c r="AH17" s="21">
        <f>IFERROR(IF(U17="","",IFERROR(VLOOKUP(U17,'Bucket Status'!$A$4:$B$75,2,FALSE()),0)-(SUMIF($U$5:$U16,U17,$AK$5:$AK16)+SUMIF($V$5:$V16,U17,$AL$5:$AL16)+SUMIF($Y$5:$Y16,U17,$AA$5:$AA16)+SUMIF($AC$5:$AC16,U17,$AE$5:$AE16))),"")</f>
        <v>5.15</v>
      </c>
      <c r="AI17" s="22">
        <f>IFERROR(IF(V17="","",IFERROR(VLOOKUP(V17,'Bucket Status'!$A$4:$B$75,2,FALSE()),0)-(SUMIF($U$5:$U16,V17,$AK$5:$AK16)+SUMIF($V$5:$V16,V17,$AL$5:$AL16)+SUMIF($Y$5:$Y16,V17,$AA$5:$AA16)+SUMIF($AC$5:$AC16,V17,$AE$5:$AE16))),"")</f>
        <v>4.95</v>
      </c>
      <c r="AJ17" s="23">
        <f t="shared" si="13"/>
        <v>10.100000000000001</v>
      </c>
      <c r="AK17" s="21">
        <f t="shared" si="14"/>
        <v>3.5300000000000007</v>
      </c>
      <c r="AL17" s="22">
        <f t="shared" si="15"/>
        <v>0</v>
      </c>
    </row>
    <row r="18" spans="1:38" ht="18" customHeight="1" x14ac:dyDescent="0.3">
      <c r="A18" s="61" t="s">
        <v>193</v>
      </c>
      <c r="B18" s="50">
        <v>46301</v>
      </c>
      <c r="C18" s="4"/>
      <c r="D18" s="5"/>
      <c r="E18" s="5"/>
      <c r="F18" s="6"/>
      <c r="G18" s="6"/>
      <c r="H18" s="7">
        <v>5.25</v>
      </c>
      <c r="I18" s="8">
        <f t="shared" si="0"/>
        <v>5.25</v>
      </c>
      <c r="J18" s="9">
        <f t="shared" si="1"/>
        <v>1.3200000000000003</v>
      </c>
      <c r="K18" s="10" t="str">
        <f t="shared" si="2"/>
        <v/>
      </c>
      <c r="L18" s="11" t="str">
        <f t="shared" si="3"/>
        <v>1.620 kg M3E-</v>
      </c>
      <c r="M18" s="12" t="str">
        <f t="shared" si="4"/>
        <v>3.630 kg M3F-</v>
      </c>
      <c r="N18" s="13" t="str">
        <f t="shared" si="5"/>
        <v>0.000 kg M3E-</v>
      </c>
      <c r="O18" s="14" t="str">
        <f t="shared" si="6"/>
        <v>1.320 kg M3F-</v>
      </c>
      <c r="P18" s="15"/>
      <c r="Q18" s="16" t="str">
        <f t="shared" si="16"/>
        <v>M3</v>
      </c>
      <c r="R18" s="16" t="str">
        <f t="shared" si="17"/>
        <v>E</v>
      </c>
      <c r="S18" s="17" t="str">
        <f t="shared" si="18"/>
        <v>M3</v>
      </c>
      <c r="T18" s="17" t="str">
        <f t="shared" si="19"/>
        <v>F</v>
      </c>
      <c r="U18" s="16" t="str">
        <f t="shared" si="7"/>
        <v>M3E-</v>
      </c>
      <c r="V18" s="17" t="str">
        <f t="shared" si="8"/>
        <v>M3F-</v>
      </c>
      <c r="W18" s="18">
        <f t="shared" si="20"/>
        <v>0</v>
      </c>
      <c r="X18" s="18">
        <f t="shared" si="21"/>
        <v>0</v>
      </c>
      <c r="Y18" s="18" t="str">
        <f t="shared" si="22"/>
        <v/>
      </c>
      <c r="Z18" s="19">
        <f>IF(W18=1,MAX(0,MIN(Settings!$B$6,(IFERROR(VLOOKUP(U17,'Bucket Status'!$A$4:$B$75,2,FALSE()),0)-(SUMIF($U$5:$U17,U17,$AK$5:$AK17)+SUMIF($V$5:$V17,U17,$AL$5:$AL17)+SUMIF($Y$5:$Y17,U17,$AA$5:$AA17)+SUMIF($AC$5:$AC17,U17,$AE$5:$AE17))))),IF(AB17&gt;0,AB17,0))</f>
        <v>0</v>
      </c>
      <c r="AA18" s="19">
        <f t="shared" si="9"/>
        <v>0</v>
      </c>
      <c r="AB18" s="19">
        <f t="shared" si="10"/>
        <v>0</v>
      </c>
      <c r="AC18" s="18" t="str">
        <f t="shared" si="23"/>
        <v/>
      </c>
      <c r="AD18" s="19">
        <f>IF(X18=1,MAX(0,MIN(Settings!$B$6-Z18,(IFERROR(VLOOKUP(V17,'Bucket Status'!$A$4:$B$75,2,FALSE()),0)-(SUMIF($U$5:$U17,V17,$AK$5:$AK17)+SUMIF($V$5:$V17,V17,$AL$5:$AL17)+SUMIF($Y$5:$Y17,V17,$AA$5:$AA17)+SUMIF($AC$5:$AC17,V17,$AE$5:$AE17))))),IF(AF17&gt;0,AF17,0))</f>
        <v>0</v>
      </c>
      <c r="AE18" s="19">
        <f t="shared" si="11"/>
        <v>0</v>
      </c>
      <c r="AF18" s="19">
        <f t="shared" si="12"/>
        <v>0</v>
      </c>
      <c r="AG18" s="20">
        <f>IFERROR(IF(C18="Y",Settings!$B$4+Settings!$B$5,0),0)</f>
        <v>0</v>
      </c>
      <c r="AH18" s="21">
        <f>IFERROR(IF(U18="","",IFERROR(VLOOKUP(U18,'Bucket Status'!$A$4:$B$75,2,FALSE()),0)-(SUMIF($U$5:$U17,U18,$AK$5:$AK17)+SUMIF($V$5:$V17,U18,$AL$5:$AL17)+SUMIF($Y$5:$Y17,U18,$AA$5:$AA17)+SUMIF($AC$5:$AC17,U18,$AE$5:$AE17))),"")</f>
        <v>1.6199999999999997</v>
      </c>
      <c r="AI18" s="22">
        <f>IFERROR(IF(V18="","",IFERROR(VLOOKUP(V18,'Bucket Status'!$A$4:$B$75,2,FALSE()),0)-(SUMIF($U$5:$U17,V18,$AK$5:$AK17)+SUMIF($V$5:$V17,V18,$AL$5:$AL17)+SUMIF($Y$5:$Y17,V18,$AA$5:$AA17)+SUMIF($AC$5:$AC17,V18,$AE$5:$AE17))),"")</f>
        <v>4.95</v>
      </c>
      <c r="AJ18" s="23">
        <f t="shared" si="13"/>
        <v>6.57</v>
      </c>
      <c r="AK18" s="21">
        <f t="shared" si="14"/>
        <v>1.6199999999999997</v>
      </c>
      <c r="AL18" s="22">
        <f t="shared" si="15"/>
        <v>3.6300000000000003</v>
      </c>
    </row>
    <row r="19" spans="1:38" ht="18" customHeight="1" x14ac:dyDescent="0.3">
      <c r="A19" s="3" t="s">
        <v>195</v>
      </c>
      <c r="B19" s="50">
        <v>46302</v>
      </c>
      <c r="C19" s="4"/>
      <c r="D19" s="5" t="s">
        <v>191</v>
      </c>
      <c r="E19" s="5" t="s">
        <v>169</v>
      </c>
      <c r="F19" s="6" t="s">
        <v>191</v>
      </c>
      <c r="G19" s="6" t="s">
        <v>174</v>
      </c>
      <c r="H19" s="7">
        <v>4.49</v>
      </c>
      <c r="I19" s="8">
        <f t="shared" si="0"/>
        <v>4.49</v>
      </c>
      <c r="J19" s="9">
        <f t="shared" si="1"/>
        <v>7.0500000000000007</v>
      </c>
      <c r="K19" s="10" t="str">
        <f t="shared" si="2"/>
        <v>1.320 kg M3F- (funnel)</v>
      </c>
      <c r="L19" s="11" t="str">
        <f t="shared" si="3"/>
        <v>3.170 kg M3G-</v>
      </c>
      <c r="M19" s="12" t="str">
        <f t="shared" si="4"/>
        <v/>
      </c>
      <c r="N19" s="13" t="str">
        <f t="shared" si="5"/>
        <v>1.900 kg M3G-</v>
      </c>
      <c r="O19" s="14" t="str">
        <f t="shared" si="6"/>
        <v>5.150 kg M3H-</v>
      </c>
      <c r="P19" s="15"/>
      <c r="Q19" s="16" t="str">
        <f t="shared" si="16"/>
        <v>M3</v>
      </c>
      <c r="R19" s="16" t="str">
        <f t="shared" si="17"/>
        <v>G</v>
      </c>
      <c r="S19" s="17" t="str">
        <f t="shared" si="18"/>
        <v>M3</v>
      </c>
      <c r="T19" s="17" t="str">
        <f t="shared" si="19"/>
        <v>H</v>
      </c>
      <c r="U19" s="16" t="str">
        <f t="shared" si="7"/>
        <v>M3G-</v>
      </c>
      <c r="V19" s="17" t="str">
        <f t="shared" si="8"/>
        <v>M3H-</v>
      </c>
      <c r="W19" s="18">
        <f t="shared" si="20"/>
        <v>1</v>
      </c>
      <c r="X19" s="18">
        <f t="shared" si="21"/>
        <v>1</v>
      </c>
      <c r="Y19" s="18" t="str">
        <f t="shared" si="22"/>
        <v>M3E-</v>
      </c>
      <c r="Z19" s="19">
        <f>IF(W19=1,MAX(0,MIN(Settings!$B$6,(IFERROR(VLOOKUP(U18,'Bucket Status'!$A$4:$B$75,2,FALSE()),0)-(SUMIF($U$5:$U18,U18,$AK$5:$AK18)+SUMIF($V$5:$V18,U18,$AL$5:$AL18)+SUMIF($Y$5:$Y18,U18,$AA$5:$AA18)+SUMIF($AC$5:$AC18,U18,$AE$5:$AE18))))),IF(AB18&gt;0,AB18,0))</f>
        <v>0</v>
      </c>
      <c r="AA19" s="19">
        <f t="shared" si="9"/>
        <v>0</v>
      </c>
      <c r="AB19" s="19">
        <f t="shared" si="10"/>
        <v>0</v>
      </c>
      <c r="AC19" s="18" t="str">
        <f t="shared" si="23"/>
        <v>M3F-</v>
      </c>
      <c r="AD19" s="19">
        <f>IF(X19=1,MAX(0,MIN(Settings!$B$6-Z19,(IFERROR(VLOOKUP(V18,'Bucket Status'!$A$4:$B$75,2,FALSE()),0)-(SUMIF($U$5:$U18,V18,$AK$5:$AK18)+SUMIF($V$5:$V18,V18,$AL$5:$AL18)+SUMIF($Y$5:$Y18,V18,$AA$5:$AA18)+SUMIF($AC$5:$AC18,V18,$AE$5:$AE18))))),IF(AF18&gt;0,AF18,0))</f>
        <v>1.3199999999999998</v>
      </c>
      <c r="AE19" s="19">
        <f t="shared" si="11"/>
        <v>1.3199999999999998</v>
      </c>
      <c r="AF19" s="19">
        <f t="shared" si="12"/>
        <v>0</v>
      </c>
      <c r="AG19" s="20">
        <f>IFERROR(IF(C19="Y",Settings!$B$4+Settings!$B$5,0),0)</f>
        <v>0</v>
      </c>
      <c r="AH19" s="21">
        <f>IFERROR(IF(U19="","",IFERROR(VLOOKUP(U19,'Bucket Status'!$A$4:$B$75,2,FALSE()),0)-(SUMIF($U$5:$U18,U19,$AK$5:$AK18)+SUMIF($V$5:$V18,U19,$AL$5:$AL18)+SUMIF($Y$5:$Y18,U19,$AA$5:$AA18)+SUMIF($AC$5:$AC18,U19,$AE$5:$AE18))),"")</f>
        <v>5.07</v>
      </c>
      <c r="AI19" s="22">
        <f>IFERROR(IF(V19="","",IFERROR(VLOOKUP(V19,'Bucket Status'!$A$4:$B$75,2,FALSE()),0)-(SUMIF($U$5:$U18,V19,$AK$5:$AK18)+SUMIF($V$5:$V18,V19,$AL$5:$AL18)+SUMIF($Y$5:$Y18,V19,$AA$5:$AA18)+SUMIF($AC$5:$AC18,V19,$AE$5:$AE18))),"")</f>
        <v>5.15</v>
      </c>
      <c r="AJ19" s="23">
        <f t="shared" si="13"/>
        <v>10.220000000000001</v>
      </c>
      <c r="AK19" s="21">
        <f t="shared" si="14"/>
        <v>3.1700000000000004</v>
      </c>
      <c r="AL19" s="22">
        <f t="shared" si="15"/>
        <v>0</v>
      </c>
    </row>
    <row r="20" spans="1:38" ht="18" customHeight="1" x14ac:dyDescent="0.3">
      <c r="A20" s="3" t="s">
        <v>198</v>
      </c>
      <c r="B20" s="50">
        <v>46303</v>
      </c>
      <c r="C20" s="4"/>
      <c r="D20" s="5"/>
      <c r="E20" s="5"/>
      <c r="F20" s="6"/>
      <c r="G20" s="6"/>
      <c r="H20" s="7">
        <v>5.38</v>
      </c>
      <c r="I20" s="8">
        <f t="shared" si="0"/>
        <v>5.38</v>
      </c>
      <c r="J20" s="9">
        <f t="shared" si="1"/>
        <v>1.6700000000000008</v>
      </c>
      <c r="K20" s="10" t="str">
        <f t="shared" si="2"/>
        <v/>
      </c>
      <c r="L20" s="11" t="str">
        <f t="shared" si="3"/>
        <v>1.900 kg M3G-</v>
      </c>
      <c r="M20" s="12" t="str">
        <f t="shared" si="4"/>
        <v>3.480 kg M3H-</v>
      </c>
      <c r="N20" s="13" t="str">
        <f t="shared" si="5"/>
        <v>0.000 kg M3G-</v>
      </c>
      <c r="O20" s="14" t="str">
        <f t="shared" si="6"/>
        <v>1.670 kg M3H-</v>
      </c>
      <c r="P20" s="15"/>
      <c r="Q20" s="16" t="str">
        <f t="shared" si="16"/>
        <v>M3</v>
      </c>
      <c r="R20" s="16" t="str">
        <f t="shared" si="17"/>
        <v>G</v>
      </c>
      <c r="S20" s="17" t="str">
        <f t="shared" si="18"/>
        <v>M3</v>
      </c>
      <c r="T20" s="17" t="str">
        <f t="shared" si="19"/>
        <v>H</v>
      </c>
      <c r="U20" s="16" t="str">
        <f t="shared" si="7"/>
        <v>M3G-</v>
      </c>
      <c r="V20" s="17" t="str">
        <f t="shared" si="8"/>
        <v>M3H-</v>
      </c>
      <c r="W20" s="18">
        <f t="shared" si="20"/>
        <v>0</v>
      </c>
      <c r="X20" s="18">
        <f t="shared" si="21"/>
        <v>0</v>
      </c>
      <c r="Y20" s="18" t="str">
        <f t="shared" si="22"/>
        <v/>
      </c>
      <c r="Z20" s="19">
        <f>IF(W20=1,MAX(0,MIN(Settings!$B$6,(IFERROR(VLOOKUP(U19,'Bucket Status'!$A$4:$B$75,2,FALSE()),0)-(SUMIF($U$5:$U19,U19,$AK$5:$AK19)+SUMIF($V$5:$V19,U19,$AL$5:$AL19)+SUMIF($Y$5:$Y19,U19,$AA$5:$AA19)+SUMIF($AC$5:$AC19,U19,$AE$5:$AE19))))),IF(AB19&gt;0,AB19,0))</f>
        <v>0</v>
      </c>
      <c r="AA20" s="19">
        <f t="shared" si="9"/>
        <v>0</v>
      </c>
      <c r="AB20" s="19">
        <f t="shared" si="10"/>
        <v>0</v>
      </c>
      <c r="AC20" s="18" t="str">
        <f t="shared" si="23"/>
        <v/>
      </c>
      <c r="AD20" s="19">
        <f>IF(X20=1,MAX(0,MIN(Settings!$B$6-Z20,(IFERROR(VLOOKUP(V19,'Bucket Status'!$A$4:$B$75,2,FALSE()),0)-(SUMIF($U$5:$U19,V19,$AK$5:$AK19)+SUMIF($V$5:$V19,V19,$AL$5:$AL19)+SUMIF($Y$5:$Y19,V19,$AA$5:$AA19)+SUMIF($AC$5:$AC19,V19,$AE$5:$AE19))))),IF(AF19&gt;0,AF19,0))</f>
        <v>0</v>
      </c>
      <c r="AE20" s="19">
        <f t="shared" si="11"/>
        <v>0</v>
      </c>
      <c r="AF20" s="19">
        <f t="shared" si="12"/>
        <v>0</v>
      </c>
      <c r="AG20" s="20">
        <f>IFERROR(IF(C20="Y",Settings!$B$4+Settings!$B$5,0),0)</f>
        <v>0</v>
      </c>
      <c r="AH20" s="21">
        <f>IFERROR(IF(U20="","",IFERROR(VLOOKUP(U20,'Bucket Status'!$A$4:$B$75,2,FALSE()),0)-(SUMIF($U$5:$U19,U20,$AK$5:$AK19)+SUMIF($V$5:$V19,U20,$AL$5:$AL19)+SUMIF($Y$5:$Y19,U20,$AA$5:$AA19)+SUMIF($AC$5:$AC19,U20,$AE$5:$AE19))),"")</f>
        <v>1.9</v>
      </c>
      <c r="AI20" s="22">
        <f>IFERROR(IF(V20="","",IFERROR(VLOOKUP(V20,'Bucket Status'!$A$4:$B$75,2,FALSE()),0)-(SUMIF($U$5:$U19,V20,$AK$5:$AK19)+SUMIF($V$5:$V19,V20,$AL$5:$AL19)+SUMIF($Y$5:$Y19,V20,$AA$5:$AA19)+SUMIF($AC$5:$AC19,V20,$AE$5:$AE19))),"")</f>
        <v>5.15</v>
      </c>
      <c r="AJ20" s="23">
        <f t="shared" si="13"/>
        <v>7.0500000000000007</v>
      </c>
      <c r="AK20" s="21">
        <f t="shared" si="14"/>
        <v>1.9</v>
      </c>
      <c r="AL20" s="22">
        <f t="shared" si="15"/>
        <v>3.48</v>
      </c>
    </row>
    <row r="21" spans="1:38" ht="18" customHeight="1" x14ac:dyDescent="0.3">
      <c r="A21" s="3" t="s">
        <v>199</v>
      </c>
      <c r="B21" s="50">
        <v>46304</v>
      </c>
      <c r="C21" s="4"/>
      <c r="D21" s="5" t="s">
        <v>191</v>
      </c>
      <c r="E21" s="5" t="s">
        <v>172</v>
      </c>
      <c r="F21" s="6" t="s">
        <v>201</v>
      </c>
      <c r="G21" s="6"/>
      <c r="H21" s="7">
        <v>3.37</v>
      </c>
      <c r="I21" s="8">
        <f t="shared" si="0"/>
        <v>3.37</v>
      </c>
      <c r="J21" s="9">
        <f t="shared" si="1"/>
        <v>3.2900000000000005</v>
      </c>
      <c r="K21" s="10" t="str">
        <f t="shared" si="2"/>
        <v>1.670 kg M3H- (funnel)</v>
      </c>
      <c r="L21" s="11" t="str">
        <f t="shared" si="3"/>
        <v>1.700 kg M3D-</v>
      </c>
      <c r="M21" s="12" t="str">
        <f t="shared" si="4"/>
        <v/>
      </c>
      <c r="N21" s="13" t="str">
        <f t="shared" si="5"/>
        <v>3.290 kg M3D-</v>
      </c>
      <c r="O21" s="14" t="str">
        <f t="shared" si="6"/>
        <v>0.000 kg   H-</v>
      </c>
      <c r="P21" s="15"/>
      <c r="Q21" s="16" t="str">
        <f t="shared" si="16"/>
        <v>M3</v>
      </c>
      <c r="R21" s="16" t="str">
        <f t="shared" si="17"/>
        <v>D</v>
      </c>
      <c r="S21" s="17" t="str">
        <f t="shared" si="18"/>
        <v xml:space="preserve">  </v>
      </c>
      <c r="T21" s="17" t="str">
        <f t="shared" si="19"/>
        <v>H</v>
      </c>
      <c r="U21" s="16" t="str">
        <f t="shared" si="7"/>
        <v>M3D-</v>
      </c>
      <c r="V21" s="17" t="str">
        <f t="shared" si="8"/>
        <v xml:space="preserve">  H-</v>
      </c>
      <c r="W21" s="18">
        <f t="shared" si="20"/>
        <v>1</v>
      </c>
      <c r="X21" s="18">
        <f t="shared" si="21"/>
        <v>1</v>
      </c>
      <c r="Y21" s="18" t="str">
        <f t="shared" si="22"/>
        <v>M3G-</v>
      </c>
      <c r="Z21" s="19">
        <f>IF(W21=1,MAX(0,MIN(Settings!$B$6,(IFERROR(VLOOKUP(U20,'Bucket Status'!$A$4:$B$75,2,FALSE()),0)-(SUMIF($U$5:$U20,U20,$AK$5:$AK20)+SUMIF($V$5:$V20,U20,$AL$5:$AL20)+SUMIF($Y$5:$Y20,U20,$AA$5:$AA20)+SUMIF($AC$5:$AC20,U20,$AE$5:$AE20))))),IF(AB20&gt;0,AB20,0))</f>
        <v>0</v>
      </c>
      <c r="AA21" s="19">
        <f t="shared" si="9"/>
        <v>0</v>
      </c>
      <c r="AB21" s="19">
        <f t="shared" si="10"/>
        <v>0</v>
      </c>
      <c r="AC21" s="18" t="str">
        <f t="shared" si="23"/>
        <v>M3H-</v>
      </c>
      <c r="AD21" s="19">
        <f>IF(X21=1,MAX(0,MIN(Settings!$B$6-Z21,(IFERROR(VLOOKUP(V20,'Bucket Status'!$A$4:$B$75,2,FALSE()),0)-(SUMIF($U$5:$U20,V20,$AK$5:$AK20)+SUMIF($V$5:$V20,V20,$AL$5:$AL20)+SUMIF($Y$5:$Y20,V20,$AA$5:$AA20)+SUMIF($AC$5:$AC20,V20,$AE$5:$AE20))))),IF(AF20&gt;0,AF20,0))</f>
        <v>1.6700000000000004</v>
      </c>
      <c r="AE21" s="19">
        <f t="shared" si="11"/>
        <v>1.6700000000000004</v>
      </c>
      <c r="AF21" s="19">
        <f t="shared" si="12"/>
        <v>0</v>
      </c>
      <c r="AG21" s="20">
        <f>IFERROR(IF(C21="Y",Settings!$B$4+Settings!$B$5,0),0)</f>
        <v>0</v>
      </c>
      <c r="AH21" s="21">
        <f>IFERROR(IF(U21="","",IFERROR(VLOOKUP(U21,'Bucket Status'!$A$4:$B$75,2,FALSE()),0)-(SUMIF($U$5:$U20,U21,$AK$5:$AK20)+SUMIF($V$5:$V20,U21,$AL$5:$AL20)+SUMIF($Y$5:$Y20,U21,$AA$5:$AA20)+SUMIF($AC$5:$AC20,U21,$AE$5:$AE20))),"")</f>
        <v>4.99</v>
      </c>
      <c r="AI21" s="22">
        <f>IFERROR(IF(V21="","",IFERROR(VLOOKUP(V21,'Bucket Status'!$A$4:$B$75,2,FALSE()),0)-(SUMIF($U$5:$U20,V21,$AK$5:$AK20)+SUMIF($V$5:$V20,V21,$AL$5:$AL20)+SUMIF($Y$5:$Y20,V21,$AA$5:$AA20)+SUMIF($AC$5:$AC20,V21,$AE$5:$AE20))),"")</f>
        <v>0</v>
      </c>
      <c r="AJ21" s="23">
        <f t="shared" si="13"/>
        <v>4.99</v>
      </c>
      <c r="AK21" s="21">
        <f t="shared" si="14"/>
        <v>1.6999999999999997</v>
      </c>
      <c r="AL21" s="22">
        <f t="shared" si="15"/>
        <v>0</v>
      </c>
    </row>
    <row r="22" spans="1:38" ht="18" customHeight="1" x14ac:dyDescent="0.3">
      <c r="A22" s="3" t="s">
        <v>204</v>
      </c>
      <c r="B22" s="50">
        <v>46307</v>
      </c>
      <c r="C22" s="4"/>
      <c r="D22" s="5" t="s">
        <v>202</v>
      </c>
      <c r="E22" s="5" t="s">
        <v>164</v>
      </c>
      <c r="F22" s="6"/>
      <c r="G22" s="6"/>
      <c r="H22" s="7">
        <v>3.21</v>
      </c>
      <c r="I22" s="8">
        <f t="shared" si="0"/>
        <v>3.21</v>
      </c>
      <c r="J22" s="9">
        <f t="shared" si="1"/>
        <v>5.01</v>
      </c>
      <c r="K22" s="10" t="str">
        <f t="shared" si="2"/>
        <v>3.210 kg M3D- (funnel)</v>
      </c>
      <c r="L22" s="11" t="str">
        <f t="shared" si="3"/>
        <v/>
      </c>
      <c r="M22" s="12" t="str">
        <f t="shared" si="4"/>
        <v/>
      </c>
      <c r="N22" s="13" t="str">
        <f t="shared" si="5"/>
        <v>5.010 kg M4E-</v>
      </c>
      <c r="O22" s="14" t="str">
        <f t="shared" si="6"/>
        <v>0.000 kg   H-</v>
      </c>
      <c r="P22" s="15"/>
      <c r="Q22" s="16" t="str">
        <f t="shared" si="16"/>
        <v>M4</v>
      </c>
      <c r="R22" s="16" t="str">
        <f t="shared" si="17"/>
        <v>E</v>
      </c>
      <c r="S22" s="17" t="str">
        <f t="shared" si="18"/>
        <v xml:space="preserve">  </v>
      </c>
      <c r="T22" s="17" t="str">
        <f t="shared" si="19"/>
        <v>H</v>
      </c>
      <c r="U22" s="16" t="str">
        <f t="shared" si="7"/>
        <v>M4E-</v>
      </c>
      <c r="V22" s="17" t="str">
        <f t="shared" si="8"/>
        <v xml:space="preserve">  H-</v>
      </c>
      <c r="W22" s="18">
        <f t="shared" si="20"/>
        <v>1</v>
      </c>
      <c r="X22" s="18">
        <f t="shared" si="21"/>
        <v>0</v>
      </c>
      <c r="Y22" s="18" t="str">
        <f t="shared" si="22"/>
        <v>M3D-</v>
      </c>
      <c r="Z22" s="19">
        <f>IF(W22=1,MAX(0,MIN(Settings!$B$6,(IFERROR(VLOOKUP(U21,'Bucket Status'!$A$4:$B$75,2,FALSE()),0)-(SUMIF($U$5:$U21,U21,$AK$5:$AK21)+SUMIF($V$5:$V21,U21,$AL$5:$AL21)+SUMIF($Y$5:$Y21,U21,$AA$5:$AA21)+SUMIF($AC$5:$AC21,U21,$AE$5:$AE21))))),IF(AB21&gt;0,AB21,0))</f>
        <v>3.2900000000000005</v>
      </c>
      <c r="AA22" s="19">
        <f t="shared" si="9"/>
        <v>3.21</v>
      </c>
      <c r="AB22" s="19">
        <f t="shared" si="10"/>
        <v>8.0000000000000515E-2</v>
      </c>
      <c r="AC22" s="18" t="str">
        <f t="shared" si="23"/>
        <v/>
      </c>
      <c r="AD22" s="19">
        <f>IF(X22=1,MAX(0,MIN(Settings!$B$6-Z22,(IFERROR(VLOOKUP(V21,'Bucket Status'!$A$4:$B$75,2,FALSE()),0)-(SUMIF($U$5:$U21,V21,$AK$5:$AK21)+SUMIF($V$5:$V21,V21,$AL$5:$AL21)+SUMIF($Y$5:$Y21,V21,$AA$5:$AA21)+SUMIF($AC$5:$AC21,V21,$AE$5:$AE21))))),IF(AF21&gt;0,AF21,0))</f>
        <v>0</v>
      </c>
      <c r="AE22" s="19">
        <f t="shared" si="11"/>
        <v>0</v>
      </c>
      <c r="AF22" s="19">
        <f t="shared" si="12"/>
        <v>0</v>
      </c>
      <c r="AG22" s="20">
        <f>IFERROR(IF(C22="Y",Settings!$B$4+Settings!$B$5,0),0)</f>
        <v>0</v>
      </c>
      <c r="AH22" s="21">
        <f>IFERROR(IF(U22="","",IFERROR(VLOOKUP(U22,'Bucket Status'!$A$4:$B$75,2,FALSE()),0)-(SUMIF($U$5:$U21,U22,$AK$5:$AK21)+SUMIF($V$5:$V21,U22,$AL$5:$AL21)+SUMIF($Y$5:$Y21,U22,$AA$5:$AA21)+SUMIF($AC$5:$AC21,U22,$AE$5:$AE21))),"")</f>
        <v>5.01</v>
      </c>
      <c r="AI22" s="22">
        <f>IFERROR(IF(V22="","",IFERROR(VLOOKUP(V22,'Bucket Status'!$A$4:$B$75,2,FALSE()),0)-(SUMIF($U$5:$U21,V22,$AK$5:$AK21)+SUMIF($V$5:$V21,V22,$AL$5:$AL21)+SUMIF($Y$5:$Y21,V22,$AA$5:$AA21)+SUMIF($AC$5:$AC21,V22,$AE$5:$AE21))),"")</f>
        <v>0</v>
      </c>
      <c r="AJ22" s="23">
        <f t="shared" si="13"/>
        <v>5.01</v>
      </c>
      <c r="AK22" s="21">
        <f t="shared" si="14"/>
        <v>0</v>
      </c>
      <c r="AL22" s="22">
        <f t="shared" si="15"/>
        <v>0</v>
      </c>
    </row>
    <row r="23" spans="1:38" ht="18" customHeight="1" x14ac:dyDescent="0.3">
      <c r="A23" s="3" t="s">
        <v>206</v>
      </c>
      <c r="B23" s="50">
        <v>46308</v>
      </c>
      <c r="C23" s="4"/>
      <c r="D23" s="5"/>
      <c r="E23" s="5"/>
      <c r="F23" s="6"/>
      <c r="G23" s="6"/>
      <c r="H23" s="7">
        <v>2.35</v>
      </c>
      <c r="I23" s="8">
        <f t="shared" si="0"/>
        <v>2.35</v>
      </c>
      <c r="J23" s="9">
        <f t="shared" si="1"/>
        <v>2.74</v>
      </c>
      <c r="K23" s="10" t="str">
        <f t="shared" si="2"/>
        <v>0.080 kg M3D- (funnel)</v>
      </c>
      <c r="L23" s="11" t="str">
        <f t="shared" si="3"/>
        <v>2.270 kg M4E-</v>
      </c>
      <c r="M23" s="12" t="str">
        <f t="shared" si="4"/>
        <v/>
      </c>
      <c r="N23" s="13" t="str">
        <f t="shared" si="5"/>
        <v>2.740 kg M4E-</v>
      </c>
      <c r="O23" s="14" t="str">
        <f t="shared" si="6"/>
        <v>0.000 kg   H-</v>
      </c>
      <c r="P23" s="15"/>
      <c r="Q23" s="16" t="str">
        <f t="shared" si="16"/>
        <v>M4</v>
      </c>
      <c r="R23" s="16" t="str">
        <f t="shared" si="17"/>
        <v>E</v>
      </c>
      <c r="S23" s="17" t="str">
        <f t="shared" si="18"/>
        <v xml:space="preserve">  </v>
      </c>
      <c r="T23" s="17" t="str">
        <f t="shared" si="19"/>
        <v>H</v>
      </c>
      <c r="U23" s="16" t="str">
        <f t="shared" si="7"/>
        <v>M4E-</v>
      </c>
      <c r="V23" s="17" t="str">
        <f t="shared" si="8"/>
        <v xml:space="preserve">  H-</v>
      </c>
      <c r="W23" s="18">
        <f t="shared" si="20"/>
        <v>0</v>
      </c>
      <c r="X23" s="18">
        <f t="shared" si="21"/>
        <v>0</v>
      </c>
      <c r="Y23" s="18" t="str">
        <f t="shared" si="22"/>
        <v>M3D-</v>
      </c>
      <c r="Z23" s="19">
        <f>IF(W23=1,MAX(0,MIN(Settings!$B$6,(IFERROR(VLOOKUP(U22,'Bucket Status'!$A$4:$B$75,2,FALSE()),0)-(SUMIF($U$5:$U22,U22,$AK$5:$AK22)+SUMIF($V$5:$V22,U22,$AL$5:$AL22)+SUMIF($Y$5:$Y22,U22,$AA$5:$AA22)+SUMIF($AC$5:$AC22,U22,$AE$5:$AE22))))),IF(AB22&gt;0,AB22,0))</f>
        <v>8.0000000000000515E-2</v>
      </c>
      <c r="AA23" s="19">
        <f t="shared" si="9"/>
        <v>8.0000000000000515E-2</v>
      </c>
      <c r="AB23" s="19">
        <f t="shared" si="10"/>
        <v>0</v>
      </c>
      <c r="AC23" s="18" t="str">
        <f t="shared" si="23"/>
        <v/>
      </c>
      <c r="AD23" s="19">
        <f>IF(X23=1,MAX(0,MIN(Settings!$B$6-Z23,(IFERROR(VLOOKUP(V22,'Bucket Status'!$A$4:$B$75,2,FALSE()),0)-(SUMIF($U$5:$U22,V22,$AK$5:$AK22)+SUMIF($V$5:$V22,V22,$AL$5:$AL22)+SUMIF($Y$5:$Y22,V22,$AA$5:$AA22)+SUMIF($AC$5:$AC22,V22,$AE$5:$AE22))))),IF(AF22&gt;0,AF22,0))</f>
        <v>0</v>
      </c>
      <c r="AE23" s="19">
        <f t="shared" si="11"/>
        <v>0</v>
      </c>
      <c r="AF23" s="19">
        <f t="shared" si="12"/>
        <v>0</v>
      </c>
      <c r="AG23" s="20">
        <f>IFERROR(IF(C23="Y",Settings!$B$4+Settings!$B$5,0),0)</f>
        <v>0</v>
      </c>
      <c r="AH23" s="21">
        <f>IFERROR(IF(U23="","",IFERROR(VLOOKUP(U23,'Bucket Status'!$A$4:$B$75,2,FALSE()),0)-(SUMIF($U$5:$U22,U23,$AK$5:$AK22)+SUMIF($V$5:$V22,U23,$AL$5:$AL22)+SUMIF($Y$5:$Y22,U23,$AA$5:$AA22)+SUMIF($AC$5:$AC22,U23,$AE$5:$AE22))),"")</f>
        <v>5.01</v>
      </c>
      <c r="AI23" s="22">
        <f>IFERROR(IF(V23="","",IFERROR(VLOOKUP(V23,'Bucket Status'!$A$4:$B$75,2,FALSE()),0)-(SUMIF($U$5:$U22,V23,$AK$5:$AK22)+SUMIF($V$5:$V22,V23,$AL$5:$AL22)+SUMIF($Y$5:$Y22,V23,$AA$5:$AA22)+SUMIF($AC$5:$AC22,V23,$AE$5:$AE22))),"")</f>
        <v>0</v>
      </c>
      <c r="AJ23" s="23">
        <f t="shared" si="13"/>
        <v>5.01</v>
      </c>
      <c r="AK23" s="21">
        <f t="shared" si="14"/>
        <v>2.2699999999999996</v>
      </c>
      <c r="AL23" s="22">
        <f t="shared" si="15"/>
        <v>0</v>
      </c>
    </row>
    <row r="24" spans="1:38" ht="18" customHeight="1" x14ac:dyDescent="0.3">
      <c r="A24" s="3" t="s">
        <v>209</v>
      </c>
      <c r="B24" s="50">
        <v>46309</v>
      </c>
      <c r="C24" s="4"/>
      <c r="D24" s="5"/>
      <c r="E24" s="5"/>
      <c r="F24" s="6" t="s">
        <v>202</v>
      </c>
      <c r="G24" s="6" t="s">
        <v>165</v>
      </c>
      <c r="H24" s="7">
        <v>3.75</v>
      </c>
      <c r="I24" s="8">
        <f t="shared" si="0"/>
        <v>3.75</v>
      </c>
      <c r="J24" s="9">
        <f t="shared" si="1"/>
        <v>4.1500000000000004</v>
      </c>
      <c r="K24" s="10" t="str">
        <f t="shared" si="2"/>
        <v/>
      </c>
      <c r="L24" s="11" t="str">
        <f t="shared" si="3"/>
        <v>2.740 kg M4E-</v>
      </c>
      <c r="M24" s="12" t="str">
        <f t="shared" si="4"/>
        <v>1.010 kg M4F-</v>
      </c>
      <c r="N24" s="13" t="str">
        <f t="shared" si="5"/>
        <v>0.000 kg M4E-</v>
      </c>
      <c r="O24" s="14" t="str">
        <f t="shared" si="6"/>
        <v>4.150 kg M4F-</v>
      </c>
      <c r="P24" s="15"/>
      <c r="Q24" s="16" t="str">
        <f t="shared" si="16"/>
        <v>M4</v>
      </c>
      <c r="R24" s="16" t="str">
        <f t="shared" si="17"/>
        <v>E</v>
      </c>
      <c r="S24" s="17" t="str">
        <f t="shared" si="18"/>
        <v>M4</v>
      </c>
      <c r="T24" s="17" t="str">
        <f t="shared" si="19"/>
        <v>F</v>
      </c>
      <c r="U24" s="16" t="str">
        <f t="shared" si="7"/>
        <v>M4E-</v>
      </c>
      <c r="V24" s="17" t="str">
        <f t="shared" si="8"/>
        <v>M4F-</v>
      </c>
      <c r="W24" s="18">
        <f t="shared" si="20"/>
        <v>0</v>
      </c>
      <c r="X24" s="18">
        <f t="shared" si="21"/>
        <v>1</v>
      </c>
      <c r="Y24" s="18" t="str">
        <f t="shared" si="22"/>
        <v/>
      </c>
      <c r="Z24" s="19">
        <f>IF(W24=1,MAX(0,MIN(Settings!$B$6,(IFERROR(VLOOKUP(U23,'Bucket Status'!$A$4:$B$75,2,FALSE()),0)-(SUMIF($U$5:$U23,U23,$AK$5:$AK23)+SUMIF($V$5:$V23,U23,$AL$5:$AL23)+SUMIF($Y$5:$Y23,U23,$AA$5:$AA23)+SUMIF($AC$5:$AC23,U23,$AE$5:$AE23))))),IF(AB23&gt;0,AB23,0))</f>
        <v>0</v>
      </c>
      <c r="AA24" s="19">
        <f t="shared" si="9"/>
        <v>0</v>
      </c>
      <c r="AB24" s="19">
        <f t="shared" si="10"/>
        <v>0</v>
      </c>
      <c r="AC24" s="18" t="str">
        <f t="shared" si="23"/>
        <v xml:space="preserve">  H-</v>
      </c>
      <c r="AD24" s="19">
        <f>IF(X24=1,MAX(0,MIN(Settings!$B$6-Z24,(IFERROR(VLOOKUP(V23,'Bucket Status'!$A$4:$B$75,2,FALSE()),0)-(SUMIF($U$5:$U23,V23,$AK$5:$AK23)+SUMIF($V$5:$V23,V23,$AL$5:$AL23)+SUMIF($Y$5:$Y23,V23,$AA$5:$AA23)+SUMIF($AC$5:$AC23,V23,$AE$5:$AE23))))),IF(AF23&gt;0,AF23,0))</f>
        <v>0</v>
      </c>
      <c r="AE24" s="19">
        <f t="shared" si="11"/>
        <v>0</v>
      </c>
      <c r="AF24" s="19">
        <f t="shared" si="12"/>
        <v>0</v>
      </c>
      <c r="AG24" s="20">
        <f>IFERROR(IF(C24="Y",Settings!$B$4+Settings!$B$5,0),0)</f>
        <v>0</v>
      </c>
      <c r="AH24" s="21">
        <f>IFERROR(IF(U24="","",IFERROR(VLOOKUP(U24,'Bucket Status'!$A$4:$B$75,2,FALSE()),0)-(SUMIF($U$5:$U23,U24,$AK$5:$AK23)+SUMIF($V$5:$V23,U24,$AL$5:$AL23)+SUMIF($Y$5:$Y23,U24,$AA$5:$AA23)+SUMIF($AC$5:$AC23,U24,$AE$5:$AE23))),"")</f>
        <v>2.74</v>
      </c>
      <c r="AI24" s="22">
        <f>IFERROR(IF(V24="","",IFERROR(VLOOKUP(V24,'Bucket Status'!$A$4:$B$75,2,FALSE()),0)-(SUMIF($U$5:$U23,V24,$AK$5:$AK23)+SUMIF($V$5:$V23,V24,$AL$5:$AL23)+SUMIF($Y$5:$Y23,V24,$AA$5:$AA23)+SUMIF($AC$5:$AC23,V24,$AE$5:$AE23))),"")</f>
        <v>5.16</v>
      </c>
      <c r="AJ24" s="23">
        <f t="shared" si="13"/>
        <v>7.9</v>
      </c>
      <c r="AK24" s="21">
        <f t="shared" si="14"/>
        <v>2.74</v>
      </c>
      <c r="AL24" s="22">
        <f t="shared" si="15"/>
        <v>1.0099999999999998</v>
      </c>
    </row>
    <row r="25" spans="1:38" ht="18" customHeight="1" x14ac:dyDescent="0.3">
      <c r="A25" s="3"/>
      <c r="B25" s="50"/>
      <c r="C25" s="4"/>
      <c r="D25" s="5"/>
      <c r="E25" s="5"/>
      <c r="F25" s="6"/>
      <c r="G25" s="6"/>
      <c r="H25" s="7"/>
      <c r="I25" s="8" t="str">
        <f t="shared" si="0"/>
        <v/>
      </c>
      <c r="J25" s="9" t="str">
        <f t="shared" si="1"/>
        <v/>
      </c>
      <c r="K25" s="10" t="str">
        <f t="shared" si="2"/>
        <v/>
      </c>
      <c r="L25" s="11" t="str">
        <f t="shared" si="3"/>
        <v/>
      </c>
      <c r="M25" s="12" t="str">
        <f t="shared" si="4"/>
        <v/>
      </c>
      <c r="N25" s="13" t="str">
        <f t="shared" si="5"/>
        <v/>
      </c>
      <c r="O25" s="14" t="str">
        <f t="shared" si="6"/>
        <v/>
      </c>
      <c r="P25" s="15"/>
      <c r="Q25" s="16" t="str">
        <f t="shared" si="16"/>
        <v/>
      </c>
      <c r="R25" s="16" t="str">
        <f t="shared" si="17"/>
        <v/>
      </c>
      <c r="S25" s="17" t="str">
        <f t="shared" si="18"/>
        <v/>
      </c>
      <c r="T25" s="17" t="str">
        <f t="shared" si="19"/>
        <v/>
      </c>
      <c r="U25" s="16" t="str">
        <f t="shared" si="7"/>
        <v/>
      </c>
      <c r="V25" s="17" t="str">
        <f t="shared" si="8"/>
        <v/>
      </c>
      <c r="W25" s="18">
        <f t="shared" si="20"/>
        <v>0</v>
      </c>
      <c r="X25" s="18">
        <f t="shared" si="21"/>
        <v>0</v>
      </c>
      <c r="Y25" s="18" t="str">
        <f t="shared" si="22"/>
        <v/>
      </c>
      <c r="Z25" s="19">
        <f>IF(W25=1,MAX(0,MIN(Settings!$B$6,(IFERROR(VLOOKUP(U24,'Bucket Status'!$A$4:$B$75,2,FALSE()),0)-(SUMIF($U$5:$U24,U24,$AK$5:$AK24)+SUMIF($V$5:$V24,U24,$AL$5:$AL24)+SUMIF($Y$5:$Y24,U24,$AA$5:$AA24)+SUMIF($AC$5:$AC24,U24,$AE$5:$AE24))))),IF(AB24&gt;0,AB24,0))</f>
        <v>0</v>
      </c>
      <c r="AA25" s="19">
        <f t="shared" si="9"/>
        <v>0</v>
      </c>
      <c r="AB25" s="19">
        <f t="shared" si="10"/>
        <v>0</v>
      </c>
      <c r="AC25" s="18" t="str">
        <f t="shared" si="23"/>
        <v/>
      </c>
      <c r="AD25" s="19">
        <f>IF(X25=1,MAX(0,MIN(Settings!$B$6-Z25,(IFERROR(VLOOKUP(V24,'Bucket Status'!$A$4:$B$75,2,FALSE()),0)-(SUMIF($U$5:$U24,V24,$AK$5:$AK24)+SUMIF($V$5:$V24,V24,$AL$5:$AL24)+SUMIF($Y$5:$Y24,V24,$AA$5:$AA24)+SUMIF($AC$5:$AC24,V24,$AE$5:$AE24))))),IF(AF24&gt;0,AF24,0))</f>
        <v>0</v>
      </c>
      <c r="AE25" s="19">
        <f t="shared" si="11"/>
        <v>0</v>
      </c>
      <c r="AF25" s="19">
        <f t="shared" si="12"/>
        <v>0</v>
      </c>
      <c r="AG25" s="20">
        <f>IFERROR(IF(C25="Y",Settings!$B$4+Settings!$B$5,0),0)</f>
        <v>0</v>
      </c>
      <c r="AH25" s="21" t="str">
        <f>IFERROR(IF(U25="","",IFERROR(VLOOKUP(U25,'Bucket Status'!$A$4:$B$75,2,FALSE()),0)-(SUMIF($U$5:$U24,U25,$AK$5:$AK24)+SUMIF($V$5:$V24,U25,$AL$5:$AL24)+SUMIF($Y$5:$Y24,U25,$AA$5:$AA24)+SUMIF($AC$5:$AC24,U25,$AE$5:$AE24))),"")</f>
        <v/>
      </c>
      <c r="AI25" s="22" t="str">
        <f>IFERROR(IF(V25="","",IFERROR(VLOOKUP(V25,'Bucket Status'!$A$4:$B$75,2,FALSE()),0)-(SUMIF($U$5:$U24,V25,$AK$5:$AK24)+SUMIF($V$5:$V24,V25,$AL$5:$AL24)+SUMIF($Y$5:$Y24,V25,$AA$5:$AA24)+SUMIF($AC$5:$AC24,V25,$AE$5:$AE24))),"")</f>
        <v/>
      </c>
      <c r="AJ25" s="23" t="str">
        <f t="shared" si="13"/>
        <v/>
      </c>
      <c r="AK25" s="21" t="str">
        <f t="shared" si="14"/>
        <v/>
      </c>
      <c r="AL25" s="22" t="str">
        <f t="shared" si="15"/>
        <v/>
      </c>
    </row>
    <row r="26" spans="1:38" ht="18" customHeight="1" x14ac:dyDescent="0.3">
      <c r="A26" s="3"/>
      <c r="B26" s="50"/>
      <c r="C26" s="4"/>
      <c r="D26" s="5"/>
      <c r="E26" s="5"/>
      <c r="F26" s="6"/>
      <c r="G26" s="6"/>
      <c r="H26" s="7"/>
      <c r="I26" s="8" t="str">
        <f t="shared" si="0"/>
        <v/>
      </c>
      <c r="J26" s="9" t="str">
        <f t="shared" si="1"/>
        <v/>
      </c>
      <c r="K26" s="10" t="str">
        <f t="shared" si="2"/>
        <v/>
      </c>
      <c r="L26" s="11" t="str">
        <f t="shared" si="3"/>
        <v/>
      </c>
      <c r="M26" s="12" t="str">
        <f t="shared" si="4"/>
        <v/>
      </c>
      <c r="N26" s="13" t="str">
        <f t="shared" si="5"/>
        <v/>
      </c>
      <c r="O26" s="14" t="str">
        <f t="shared" si="6"/>
        <v/>
      </c>
      <c r="P26" s="15"/>
      <c r="Q26" s="16" t="str">
        <f t="shared" si="16"/>
        <v/>
      </c>
      <c r="R26" s="16" t="str">
        <f t="shared" si="17"/>
        <v/>
      </c>
      <c r="S26" s="17" t="str">
        <f t="shared" si="18"/>
        <v/>
      </c>
      <c r="T26" s="17" t="str">
        <f t="shared" si="19"/>
        <v/>
      </c>
      <c r="U26" s="16" t="str">
        <f t="shared" si="7"/>
        <v/>
      </c>
      <c r="V26" s="17" t="str">
        <f t="shared" si="8"/>
        <v/>
      </c>
      <c r="W26" s="18">
        <f t="shared" si="20"/>
        <v>0</v>
      </c>
      <c r="X26" s="18">
        <f t="shared" si="21"/>
        <v>0</v>
      </c>
      <c r="Y26" s="18" t="str">
        <f t="shared" si="22"/>
        <v/>
      </c>
      <c r="Z26" s="19">
        <f>IF(W26=1,MAX(0,MIN(Settings!$B$6,(IFERROR(VLOOKUP(U25,'Bucket Status'!$A$4:$B$75,2,FALSE()),0)-(SUMIF($U$5:$U25,U25,$AK$5:$AK25)+SUMIF($V$5:$V25,U25,$AL$5:$AL25)+SUMIF($Y$5:$Y25,U25,$AA$5:$AA25)+SUMIF($AC$5:$AC25,U25,$AE$5:$AE25))))),IF(AB25&gt;0,AB25,0))</f>
        <v>0</v>
      </c>
      <c r="AA26" s="19">
        <f t="shared" si="9"/>
        <v>0</v>
      </c>
      <c r="AB26" s="19">
        <f t="shared" si="10"/>
        <v>0</v>
      </c>
      <c r="AC26" s="18" t="str">
        <f t="shared" si="23"/>
        <v/>
      </c>
      <c r="AD26" s="19">
        <f>IF(X26=1,MAX(0,MIN(Settings!$B$6-Z26,(IFERROR(VLOOKUP(V25,'Bucket Status'!$A$4:$B$75,2,FALSE()),0)-(SUMIF($U$5:$U25,V25,$AK$5:$AK25)+SUMIF($V$5:$V25,V25,$AL$5:$AL25)+SUMIF($Y$5:$Y25,V25,$AA$5:$AA25)+SUMIF($AC$5:$AC25,V25,$AE$5:$AE25))))),IF(AF25&gt;0,AF25,0))</f>
        <v>0</v>
      </c>
      <c r="AE26" s="19">
        <f t="shared" si="11"/>
        <v>0</v>
      </c>
      <c r="AF26" s="19">
        <f t="shared" si="12"/>
        <v>0</v>
      </c>
      <c r="AG26" s="20">
        <f>IFERROR(IF(C26="Y",Settings!$B$4+Settings!$B$5,0),0)</f>
        <v>0</v>
      </c>
      <c r="AH26" s="21" t="str">
        <f>IFERROR(IF(U26="","",IFERROR(VLOOKUP(U26,'Bucket Status'!$A$4:$B$75,2,FALSE()),0)-(SUMIF($U$5:$U25,U26,$AK$5:$AK25)+SUMIF($V$5:$V25,U26,$AL$5:$AL25)+SUMIF($Y$5:$Y25,U26,$AA$5:$AA25)+SUMIF($AC$5:$AC25,U26,$AE$5:$AE25))),"")</f>
        <v/>
      </c>
      <c r="AI26" s="22" t="str">
        <f>IFERROR(IF(V26="","",IFERROR(VLOOKUP(V26,'Bucket Status'!$A$4:$B$75,2,FALSE()),0)-(SUMIF($U$5:$U25,V26,$AK$5:$AK25)+SUMIF($V$5:$V25,V26,$AL$5:$AL25)+SUMIF($Y$5:$Y25,V26,$AA$5:$AA25)+SUMIF($AC$5:$AC25,V26,$AE$5:$AE25))),"")</f>
        <v/>
      </c>
      <c r="AJ26" s="23" t="str">
        <f t="shared" si="13"/>
        <v/>
      </c>
      <c r="AK26" s="21" t="str">
        <f t="shared" si="14"/>
        <v/>
      </c>
      <c r="AL26" s="22" t="str">
        <f t="shared" si="15"/>
        <v/>
      </c>
    </row>
    <row r="27" spans="1:38" ht="18" customHeight="1" x14ac:dyDescent="0.3">
      <c r="A27" s="3"/>
      <c r="B27" s="50"/>
      <c r="C27" s="4"/>
      <c r="D27" s="5"/>
      <c r="E27" s="5"/>
      <c r="F27" s="6"/>
      <c r="G27" s="6"/>
      <c r="H27" s="7"/>
      <c r="I27" s="8" t="str">
        <f t="shared" si="0"/>
        <v/>
      </c>
      <c r="J27" s="9" t="str">
        <f t="shared" si="1"/>
        <v/>
      </c>
      <c r="K27" s="10" t="str">
        <f t="shared" si="2"/>
        <v/>
      </c>
      <c r="L27" s="11" t="str">
        <f t="shared" si="3"/>
        <v/>
      </c>
      <c r="M27" s="12" t="str">
        <f t="shared" si="4"/>
        <v/>
      </c>
      <c r="N27" s="13" t="str">
        <f t="shared" si="5"/>
        <v/>
      </c>
      <c r="O27" s="14" t="str">
        <f t="shared" si="6"/>
        <v/>
      </c>
      <c r="P27" s="15"/>
      <c r="Q27" s="16" t="str">
        <f t="shared" si="16"/>
        <v/>
      </c>
      <c r="R27" s="16" t="str">
        <f t="shared" si="17"/>
        <v/>
      </c>
      <c r="S27" s="17" t="str">
        <f t="shared" si="18"/>
        <v/>
      </c>
      <c r="T27" s="17" t="str">
        <f t="shared" si="19"/>
        <v/>
      </c>
      <c r="U27" s="16" t="str">
        <f t="shared" si="7"/>
        <v/>
      </c>
      <c r="V27" s="17" t="str">
        <f t="shared" si="8"/>
        <v/>
      </c>
      <c r="W27" s="18">
        <f t="shared" si="20"/>
        <v>0</v>
      </c>
      <c r="X27" s="18">
        <f t="shared" si="21"/>
        <v>0</v>
      </c>
      <c r="Y27" s="18" t="str">
        <f t="shared" si="22"/>
        <v/>
      </c>
      <c r="Z27" s="19">
        <f>IF(W27=1,MAX(0,MIN(Settings!$B$6,(IFERROR(VLOOKUP(U26,'Bucket Status'!$A$4:$B$75,2,FALSE()),0)-(SUMIF($U$5:$U26,U26,$AK$5:$AK26)+SUMIF($V$5:$V26,U26,$AL$5:$AL26)+SUMIF($Y$5:$Y26,U26,$AA$5:$AA26)+SUMIF($AC$5:$AC26,U26,$AE$5:$AE26))))),IF(AB26&gt;0,AB26,0))</f>
        <v>0</v>
      </c>
      <c r="AA27" s="19">
        <f t="shared" si="9"/>
        <v>0</v>
      </c>
      <c r="AB27" s="19">
        <f t="shared" si="10"/>
        <v>0</v>
      </c>
      <c r="AC27" s="18" t="str">
        <f t="shared" si="23"/>
        <v/>
      </c>
      <c r="AD27" s="19">
        <f>IF(X27=1,MAX(0,MIN(Settings!$B$6-Z27,(IFERROR(VLOOKUP(V26,'Bucket Status'!$A$4:$B$75,2,FALSE()),0)-(SUMIF($U$5:$U26,V26,$AK$5:$AK26)+SUMIF($V$5:$V26,V26,$AL$5:$AL26)+SUMIF($Y$5:$Y26,V26,$AA$5:$AA26)+SUMIF($AC$5:$AC26,V26,$AE$5:$AE26))))),IF(AF26&gt;0,AF26,0))</f>
        <v>0</v>
      </c>
      <c r="AE27" s="19">
        <f t="shared" si="11"/>
        <v>0</v>
      </c>
      <c r="AF27" s="19">
        <f t="shared" si="12"/>
        <v>0</v>
      </c>
      <c r="AG27" s="20">
        <f>IFERROR(IF(C27="Y",Settings!$B$4+Settings!$B$5,0),0)</f>
        <v>0</v>
      </c>
      <c r="AH27" s="21" t="str">
        <f>IFERROR(IF(U27="","",IFERROR(VLOOKUP(U27,'Bucket Status'!$A$4:$B$75,2,FALSE()),0)-(SUMIF($U$5:$U26,U27,$AK$5:$AK26)+SUMIF($V$5:$V26,U27,$AL$5:$AL26)+SUMIF($Y$5:$Y26,U27,$AA$5:$AA26)+SUMIF($AC$5:$AC26,U27,$AE$5:$AE26))),"")</f>
        <v/>
      </c>
      <c r="AI27" s="22" t="str">
        <f>IFERROR(IF(V27="","",IFERROR(VLOOKUP(V27,'Bucket Status'!$A$4:$B$75,2,FALSE()),0)-(SUMIF($U$5:$U26,V27,$AK$5:$AK26)+SUMIF($V$5:$V26,V27,$AL$5:$AL26)+SUMIF($Y$5:$Y26,V27,$AA$5:$AA26)+SUMIF($AC$5:$AC26,V27,$AE$5:$AE26))),"")</f>
        <v/>
      </c>
      <c r="AJ27" s="23" t="str">
        <f t="shared" si="13"/>
        <v/>
      </c>
      <c r="AK27" s="21" t="str">
        <f t="shared" si="14"/>
        <v/>
      </c>
      <c r="AL27" s="22" t="str">
        <f t="shared" si="15"/>
        <v/>
      </c>
    </row>
    <row r="28" spans="1:38" ht="18" customHeight="1" x14ac:dyDescent="0.3">
      <c r="A28" s="3"/>
      <c r="B28" s="50"/>
      <c r="C28" s="4"/>
      <c r="D28" s="5"/>
      <c r="E28" s="5"/>
      <c r="F28" s="6"/>
      <c r="G28" s="6"/>
      <c r="H28" s="7"/>
      <c r="I28" s="8" t="str">
        <f t="shared" si="0"/>
        <v/>
      </c>
      <c r="J28" s="9" t="str">
        <f t="shared" si="1"/>
        <v/>
      </c>
      <c r="K28" s="10" t="str">
        <f t="shared" si="2"/>
        <v/>
      </c>
      <c r="L28" s="11" t="str">
        <f t="shared" si="3"/>
        <v/>
      </c>
      <c r="M28" s="12" t="str">
        <f t="shared" si="4"/>
        <v/>
      </c>
      <c r="N28" s="13" t="str">
        <f t="shared" si="5"/>
        <v/>
      </c>
      <c r="O28" s="14" t="str">
        <f t="shared" si="6"/>
        <v/>
      </c>
      <c r="P28" s="15"/>
      <c r="Q28" s="16" t="str">
        <f t="shared" si="16"/>
        <v/>
      </c>
      <c r="R28" s="16" t="str">
        <f t="shared" si="17"/>
        <v/>
      </c>
      <c r="S28" s="17" t="str">
        <f t="shared" si="18"/>
        <v/>
      </c>
      <c r="T28" s="17" t="str">
        <f t="shared" si="19"/>
        <v/>
      </c>
      <c r="U28" s="16" t="str">
        <f t="shared" si="7"/>
        <v/>
      </c>
      <c r="V28" s="17" t="str">
        <f t="shared" si="8"/>
        <v/>
      </c>
      <c r="W28" s="18">
        <f t="shared" si="20"/>
        <v>0</v>
      </c>
      <c r="X28" s="18">
        <f t="shared" si="21"/>
        <v>0</v>
      </c>
      <c r="Y28" s="18" t="str">
        <f t="shared" si="22"/>
        <v/>
      </c>
      <c r="Z28" s="19">
        <f>IF(W28=1,MAX(0,MIN(Settings!$B$6,(IFERROR(VLOOKUP(U27,'Bucket Status'!$A$4:$B$75,2,FALSE()),0)-(SUMIF($U$5:$U27,U27,$AK$5:$AK27)+SUMIF($V$5:$V27,U27,$AL$5:$AL27)+SUMIF($Y$5:$Y27,U27,$AA$5:$AA27)+SUMIF($AC$5:$AC27,U27,$AE$5:$AE27))))),IF(AB27&gt;0,AB27,0))</f>
        <v>0</v>
      </c>
      <c r="AA28" s="19">
        <f t="shared" si="9"/>
        <v>0</v>
      </c>
      <c r="AB28" s="19">
        <f t="shared" si="10"/>
        <v>0</v>
      </c>
      <c r="AC28" s="18" t="str">
        <f t="shared" si="23"/>
        <v/>
      </c>
      <c r="AD28" s="19">
        <f>IF(X28=1,MAX(0,MIN(Settings!$B$6-Z28,(IFERROR(VLOOKUP(V27,'Bucket Status'!$A$4:$B$75,2,FALSE()),0)-(SUMIF($U$5:$U27,V27,$AK$5:$AK27)+SUMIF($V$5:$V27,V27,$AL$5:$AL27)+SUMIF($Y$5:$Y27,V27,$AA$5:$AA27)+SUMIF($AC$5:$AC27,V27,$AE$5:$AE27))))),IF(AF27&gt;0,AF27,0))</f>
        <v>0</v>
      </c>
      <c r="AE28" s="19">
        <f t="shared" si="11"/>
        <v>0</v>
      </c>
      <c r="AF28" s="19">
        <f t="shared" si="12"/>
        <v>0</v>
      </c>
      <c r="AG28" s="20">
        <f>IFERROR(IF(C28="Y",Settings!$B$4+Settings!$B$5,0),0)</f>
        <v>0</v>
      </c>
      <c r="AH28" s="21" t="str">
        <f>IFERROR(IF(U28="","",IFERROR(VLOOKUP(U28,'Bucket Status'!$A$4:$B$75,2,FALSE()),0)-(SUMIF($U$5:$U27,U28,$AK$5:$AK27)+SUMIF($V$5:$V27,U28,$AL$5:$AL27)+SUMIF($Y$5:$Y27,U28,$AA$5:$AA27)+SUMIF($AC$5:$AC27,U28,$AE$5:$AE27))),"")</f>
        <v/>
      </c>
      <c r="AI28" s="22" t="str">
        <f>IFERROR(IF(V28="","",IFERROR(VLOOKUP(V28,'Bucket Status'!$A$4:$B$75,2,FALSE()),0)-(SUMIF($U$5:$U27,V28,$AK$5:$AK27)+SUMIF($V$5:$V27,V28,$AL$5:$AL27)+SUMIF($Y$5:$Y27,V28,$AA$5:$AA27)+SUMIF($AC$5:$AC27,V28,$AE$5:$AE27))),"")</f>
        <v/>
      </c>
      <c r="AJ28" s="23" t="str">
        <f t="shared" si="13"/>
        <v/>
      </c>
      <c r="AK28" s="21" t="str">
        <f t="shared" si="14"/>
        <v/>
      </c>
      <c r="AL28" s="22" t="str">
        <f t="shared" si="15"/>
        <v/>
      </c>
    </row>
    <row r="29" spans="1:38" ht="18" customHeight="1" x14ac:dyDescent="0.3">
      <c r="A29" s="3"/>
      <c r="B29" s="50"/>
      <c r="C29" s="4"/>
      <c r="D29" s="5"/>
      <c r="E29" s="5"/>
      <c r="F29" s="6"/>
      <c r="G29" s="6"/>
      <c r="H29" s="7"/>
      <c r="I29" s="8" t="str">
        <f t="shared" si="0"/>
        <v/>
      </c>
      <c r="J29" s="9" t="str">
        <f t="shared" si="1"/>
        <v/>
      </c>
      <c r="K29" s="10" t="str">
        <f t="shared" si="2"/>
        <v/>
      </c>
      <c r="L29" s="11" t="str">
        <f t="shared" si="3"/>
        <v/>
      </c>
      <c r="M29" s="12" t="str">
        <f t="shared" si="4"/>
        <v/>
      </c>
      <c r="N29" s="13" t="str">
        <f t="shared" si="5"/>
        <v/>
      </c>
      <c r="O29" s="14" t="str">
        <f t="shared" si="6"/>
        <v/>
      </c>
      <c r="P29" s="15"/>
      <c r="Q29" s="16" t="str">
        <f t="shared" si="16"/>
        <v/>
      </c>
      <c r="R29" s="16" t="str">
        <f t="shared" si="17"/>
        <v/>
      </c>
      <c r="S29" s="17" t="str">
        <f t="shared" si="18"/>
        <v/>
      </c>
      <c r="T29" s="17" t="str">
        <f t="shared" si="19"/>
        <v/>
      </c>
      <c r="U29" s="16" t="str">
        <f t="shared" si="7"/>
        <v/>
      </c>
      <c r="V29" s="17" t="str">
        <f t="shared" si="8"/>
        <v/>
      </c>
      <c r="W29" s="18">
        <f t="shared" si="20"/>
        <v>0</v>
      </c>
      <c r="X29" s="18">
        <f t="shared" si="21"/>
        <v>0</v>
      </c>
      <c r="Y29" s="18" t="str">
        <f t="shared" si="22"/>
        <v/>
      </c>
      <c r="Z29" s="19">
        <f>IF(W29=1,MAX(0,MIN(Settings!$B$6,(IFERROR(VLOOKUP(U28,'Bucket Status'!$A$4:$B$75,2,FALSE()),0)-(SUMIF($U$5:$U28,U28,$AK$5:$AK28)+SUMIF($V$5:$V28,U28,$AL$5:$AL28)+SUMIF($Y$5:$Y28,U28,$AA$5:$AA28)+SUMIF($AC$5:$AC28,U28,$AE$5:$AE28))))),IF(AB28&gt;0,AB28,0))</f>
        <v>0</v>
      </c>
      <c r="AA29" s="19">
        <f t="shared" si="9"/>
        <v>0</v>
      </c>
      <c r="AB29" s="19">
        <f t="shared" si="10"/>
        <v>0</v>
      </c>
      <c r="AC29" s="18" t="str">
        <f t="shared" si="23"/>
        <v/>
      </c>
      <c r="AD29" s="19">
        <f>IF(X29=1,MAX(0,MIN(Settings!$B$6-Z29,(IFERROR(VLOOKUP(V28,'Bucket Status'!$A$4:$B$75,2,FALSE()),0)-(SUMIF($U$5:$U28,V28,$AK$5:$AK28)+SUMIF($V$5:$V28,V28,$AL$5:$AL28)+SUMIF($Y$5:$Y28,V28,$AA$5:$AA28)+SUMIF($AC$5:$AC28,V28,$AE$5:$AE28))))),IF(AF28&gt;0,AF28,0))</f>
        <v>0</v>
      </c>
      <c r="AE29" s="19">
        <f t="shared" si="11"/>
        <v>0</v>
      </c>
      <c r="AF29" s="19">
        <f t="shared" si="12"/>
        <v>0</v>
      </c>
      <c r="AG29" s="20">
        <f>IFERROR(IF(C29="Y",Settings!$B$4+Settings!$B$5,0),0)</f>
        <v>0</v>
      </c>
      <c r="AH29" s="21" t="str">
        <f>IFERROR(IF(U29="","",IFERROR(VLOOKUP(U29,'Bucket Status'!$A$4:$B$75,2,FALSE()),0)-(SUMIF($U$5:$U28,U29,$AK$5:$AK28)+SUMIF($V$5:$V28,U29,$AL$5:$AL28)+SUMIF($Y$5:$Y28,U29,$AA$5:$AA28)+SUMIF($AC$5:$AC28,U29,$AE$5:$AE28))),"")</f>
        <v/>
      </c>
      <c r="AI29" s="22" t="str">
        <f>IFERROR(IF(V29="","",IFERROR(VLOOKUP(V29,'Bucket Status'!$A$4:$B$75,2,FALSE()),0)-(SUMIF($U$5:$U28,V29,$AK$5:$AK28)+SUMIF($V$5:$V28,V29,$AL$5:$AL28)+SUMIF($Y$5:$Y28,V29,$AA$5:$AA28)+SUMIF($AC$5:$AC28,V29,$AE$5:$AE28))),"")</f>
        <v/>
      </c>
      <c r="AJ29" s="23" t="str">
        <f t="shared" si="13"/>
        <v/>
      </c>
      <c r="AK29" s="21" t="str">
        <f t="shared" si="14"/>
        <v/>
      </c>
      <c r="AL29" s="22" t="str">
        <f t="shared" si="15"/>
        <v/>
      </c>
    </row>
    <row r="30" spans="1:38" ht="18" customHeight="1" x14ac:dyDescent="0.3">
      <c r="A30" s="3"/>
      <c r="B30" s="50"/>
      <c r="C30" s="4"/>
      <c r="D30" s="5"/>
      <c r="E30" s="5"/>
      <c r="F30" s="6"/>
      <c r="G30" s="6"/>
      <c r="H30" s="7"/>
      <c r="I30" s="8" t="str">
        <f t="shared" si="0"/>
        <v/>
      </c>
      <c r="J30" s="9" t="str">
        <f t="shared" si="1"/>
        <v/>
      </c>
      <c r="K30" s="10" t="str">
        <f t="shared" si="2"/>
        <v/>
      </c>
      <c r="L30" s="11" t="str">
        <f t="shared" si="3"/>
        <v/>
      </c>
      <c r="M30" s="12" t="str">
        <f t="shared" si="4"/>
        <v/>
      </c>
      <c r="N30" s="13" t="str">
        <f t="shared" si="5"/>
        <v/>
      </c>
      <c r="O30" s="14" t="str">
        <f t="shared" si="6"/>
        <v/>
      </c>
      <c r="P30" s="15"/>
      <c r="Q30" s="16" t="str">
        <f t="shared" si="16"/>
        <v/>
      </c>
      <c r="R30" s="16" t="str">
        <f t="shared" si="17"/>
        <v/>
      </c>
      <c r="S30" s="17" t="str">
        <f t="shared" si="18"/>
        <v/>
      </c>
      <c r="T30" s="17" t="str">
        <f t="shared" si="19"/>
        <v/>
      </c>
      <c r="U30" s="16" t="str">
        <f t="shared" si="7"/>
        <v/>
      </c>
      <c r="V30" s="17" t="str">
        <f t="shared" si="8"/>
        <v/>
      </c>
      <c r="W30" s="18">
        <f t="shared" si="20"/>
        <v>0</v>
      </c>
      <c r="X30" s="18">
        <f t="shared" si="21"/>
        <v>0</v>
      </c>
      <c r="Y30" s="18" t="str">
        <f t="shared" si="22"/>
        <v/>
      </c>
      <c r="Z30" s="19">
        <f>IF(W30=1,MAX(0,MIN(Settings!$B$6,(IFERROR(VLOOKUP(U29,'Bucket Status'!$A$4:$B$75,2,FALSE()),0)-(SUMIF($U$5:$U29,U29,$AK$5:$AK29)+SUMIF($V$5:$V29,U29,$AL$5:$AL29)+SUMIF($Y$5:$Y29,U29,$AA$5:$AA29)+SUMIF($AC$5:$AC29,U29,$AE$5:$AE29))))),IF(AB29&gt;0,AB29,0))</f>
        <v>0</v>
      </c>
      <c r="AA30" s="19">
        <f t="shared" si="9"/>
        <v>0</v>
      </c>
      <c r="AB30" s="19">
        <f t="shared" si="10"/>
        <v>0</v>
      </c>
      <c r="AC30" s="18" t="str">
        <f t="shared" si="23"/>
        <v/>
      </c>
      <c r="AD30" s="19">
        <f>IF(X30=1,MAX(0,MIN(Settings!$B$6-Z30,(IFERROR(VLOOKUP(V29,'Bucket Status'!$A$4:$B$75,2,FALSE()),0)-(SUMIF($U$5:$U29,V29,$AK$5:$AK29)+SUMIF($V$5:$V29,V29,$AL$5:$AL29)+SUMIF($Y$5:$Y29,V29,$AA$5:$AA29)+SUMIF($AC$5:$AC29,V29,$AE$5:$AE29))))),IF(AF29&gt;0,AF29,0))</f>
        <v>0</v>
      </c>
      <c r="AE30" s="19">
        <f t="shared" si="11"/>
        <v>0</v>
      </c>
      <c r="AF30" s="19">
        <f t="shared" si="12"/>
        <v>0</v>
      </c>
      <c r="AG30" s="20">
        <f>IFERROR(IF(C30="Y",Settings!$B$4+Settings!$B$5,0),0)</f>
        <v>0</v>
      </c>
      <c r="AH30" s="21" t="str">
        <f>IFERROR(IF(U30="","",IFERROR(VLOOKUP(U30,'Bucket Status'!$A$4:$B$75,2,FALSE()),0)-(SUMIF($U$5:$U29,U30,$AK$5:$AK29)+SUMIF($V$5:$V29,U30,$AL$5:$AL29)+SUMIF($Y$5:$Y29,U30,$AA$5:$AA29)+SUMIF($AC$5:$AC29,U30,$AE$5:$AE29))),"")</f>
        <v/>
      </c>
      <c r="AI30" s="22" t="str">
        <f>IFERROR(IF(V30="","",IFERROR(VLOOKUP(V30,'Bucket Status'!$A$4:$B$75,2,FALSE()),0)-(SUMIF($U$5:$U29,V30,$AK$5:$AK29)+SUMIF($V$5:$V29,V30,$AL$5:$AL29)+SUMIF($Y$5:$Y29,V30,$AA$5:$AA29)+SUMIF($AC$5:$AC29,V30,$AE$5:$AE29))),"")</f>
        <v/>
      </c>
      <c r="AJ30" s="23" t="str">
        <f t="shared" si="13"/>
        <v/>
      </c>
      <c r="AK30" s="21" t="str">
        <f t="shared" si="14"/>
        <v/>
      </c>
      <c r="AL30" s="22" t="str">
        <f t="shared" si="15"/>
        <v/>
      </c>
    </row>
    <row r="31" spans="1:38" ht="18" customHeight="1" x14ac:dyDescent="0.3">
      <c r="A31" s="3"/>
      <c r="B31" s="50"/>
      <c r="C31" s="4"/>
      <c r="D31" s="5"/>
      <c r="E31" s="5"/>
      <c r="F31" s="6"/>
      <c r="G31" s="6"/>
      <c r="H31" s="7"/>
      <c r="I31" s="8" t="str">
        <f t="shared" si="0"/>
        <v/>
      </c>
      <c r="J31" s="9" t="str">
        <f t="shared" si="1"/>
        <v/>
      </c>
      <c r="K31" s="10" t="str">
        <f t="shared" si="2"/>
        <v/>
      </c>
      <c r="L31" s="11" t="str">
        <f t="shared" si="3"/>
        <v/>
      </c>
      <c r="M31" s="12" t="str">
        <f t="shared" si="4"/>
        <v/>
      </c>
      <c r="N31" s="13" t="str">
        <f t="shared" si="5"/>
        <v/>
      </c>
      <c r="O31" s="14" t="str">
        <f t="shared" si="6"/>
        <v/>
      </c>
      <c r="P31" s="15"/>
      <c r="Q31" s="16" t="str">
        <f t="shared" si="16"/>
        <v/>
      </c>
      <c r="R31" s="16" t="str">
        <f t="shared" si="17"/>
        <v/>
      </c>
      <c r="S31" s="17" t="str">
        <f t="shared" si="18"/>
        <v/>
      </c>
      <c r="T31" s="17" t="str">
        <f t="shared" si="19"/>
        <v/>
      </c>
      <c r="U31" s="16" t="str">
        <f t="shared" si="7"/>
        <v/>
      </c>
      <c r="V31" s="17" t="str">
        <f t="shared" si="8"/>
        <v/>
      </c>
      <c r="W31" s="18">
        <f t="shared" si="20"/>
        <v>0</v>
      </c>
      <c r="X31" s="18">
        <f t="shared" si="21"/>
        <v>0</v>
      </c>
      <c r="Y31" s="18" t="str">
        <f t="shared" si="22"/>
        <v/>
      </c>
      <c r="Z31" s="19">
        <f>IF(W31=1,MAX(0,MIN(Settings!$B$6,(IFERROR(VLOOKUP(U30,'Bucket Status'!$A$4:$B$75,2,FALSE()),0)-(SUMIF($U$5:$U30,U30,$AK$5:$AK30)+SUMIF($V$5:$V30,U30,$AL$5:$AL30)+SUMIF($Y$5:$Y30,U30,$AA$5:$AA30)+SUMIF($AC$5:$AC30,U30,$AE$5:$AE30))))),IF(AB30&gt;0,AB30,0))</f>
        <v>0</v>
      </c>
      <c r="AA31" s="19">
        <f t="shared" si="9"/>
        <v>0</v>
      </c>
      <c r="AB31" s="19">
        <f t="shared" si="10"/>
        <v>0</v>
      </c>
      <c r="AC31" s="18" t="str">
        <f t="shared" si="23"/>
        <v/>
      </c>
      <c r="AD31" s="19">
        <f>IF(X31=1,MAX(0,MIN(Settings!$B$6-Z31,(IFERROR(VLOOKUP(V30,'Bucket Status'!$A$4:$B$75,2,FALSE()),0)-(SUMIF($U$5:$U30,V30,$AK$5:$AK30)+SUMIF($V$5:$V30,V30,$AL$5:$AL30)+SUMIF($Y$5:$Y30,V30,$AA$5:$AA30)+SUMIF($AC$5:$AC30,V30,$AE$5:$AE30))))),IF(AF30&gt;0,AF30,0))</f>
        <v>0</v>
      </c>
      <c r="AE31" s="19">
        <f t="shared" si="11"/>
        <v>0</v>
      </c>
      <c r="AF31" s="19">
        <f t="shared" si="12"/>
        <v>0</v>
      </c>
      <c r="AG31" s="20">
        <f>IFERROR(IF(C31="Y",Settings!$B$4+Settings!$B$5,0),0)</f>
        <v>0</v>
      </c>
      <c r="AH31" s="21" t="str">
        <f>IFERROR(IF(U31="","",IFERROR(VLOOKUP(U31,'Bucket Status'!$A$4:$B$75,2,FALSE()),0)-(SUMIF($U$5:$U30,U31,$AK$5:$AK30)+SUMIF($V$5:$V30,U31,$AL$5:$AL30)+SUMIF($Y$5:$Y30,U31,$AA$5:$AA30)+SUMIF($AC$5:$AC30,U31,$AE$5:$AE30))),"")</f>
        <v/>
      </c>
      <c r="AI31" s="22" t="str">
        <f>IFERROR(IF(V31="","",IFERROR(VLOOKUP(V31,'Bucket Status'!$A$4:$B$75,2,FALSE()),0)-(SUMIF($U$5:$U30,V31,$AK$5:$AK30)+SUMIF($V$5:$V30,V31,$AL$5:$AL30)+SUMIF($Y$5:$Y30,V31,$AA$5:$AA30)+SUMIF($AC$5:$AC30,V31,$AE$5:$AE30))),"")</f>
        <v/>
      </c>
      <c r="AJ31" s="23" t="str">
        <f t="shared" si="13"/>
        <v/>
      </c>
      <c r="AK31" s="21" t="str">
        <f t="shared" si="14"/>
        <v/>
      </c>
      <c r="AL31" s="22" t="str">
        <f t="shared" si="15"/>
        <v/>
      </c>
    </row>
    <row r="32" spans="1:38" ht="18" customHeight="1" x14ac:dyDescent="0.3">
      <c r="A32" s="3"/>
      <c r="B32" s="50"/>
      <c r="C32" s="4"/>
      <c r="D32" s="5"/>
      <c r="E32" s="5"/>
      <c r="F32" s="6"/>
      <c r="G32" s="6"/>
      <c r="H32" s="7"/>
      <c r="I32" s="8" t="str">
        <f t="shared" si="0"/>
        <v/>
      </c>
      <c r="J32" s="9" t="str">
        <f t="shared" si="1"/>
        <v/>
      </c>
      <c r="K32" s="10" t="str">
        <f t="shared" si="2"/>
        <v/>
      </c>
      <c r="L32" s="11" t="str">
        <f t="shared" si="3"/>
        <v/>
      </c>
      <c r="M32" s="12" t="str">
        <f t="shared" si="4"/>
        <v/>
      </c>
      <c r="N32" s="13" t="str">
        <f t="shared" si="5"/>
        <v/>
      </c>
      <c r="O32" s="14" t="str">
        <f t="shared" si="6"/>
        <v/>
      </c>
      <c r="P32" s="15"/>
      <c r="Q32" s="16" t="str">
        <f t="shared" si="16"/>
        <v/>
      </c>
      <c r="R32" s="16" t="str">
        <f t="shared" si="17"/>
        <v/>
      </c>
      <c r="S32" s="17" t="str">
        <f t="shared" si="18"/>
        <v/>
      </c>
      <c r="T32" s="17" t="str">
        <f t="shared" si="19"/>
        <v/>
      </c>
      <c r="U32" s="16" t="str">
        <f t="shared" si="7"/>
        <v/>
      </c>
      <c r="V32" s="17" t="str">
        <f t="shared" si="8"/>
        <v/>
      </c>
      <c r="W32" s="18">
        <f t="shared" si="20"/>
        <v>0</v>
      </c>
      <c r="X32" s="18">
        <f t="shared" si="21"/>
        <v>0</v>
      </c>
      <c r="Y32" s="18" t="str">
        <f t="shared" si="22"/>
        <v/>
      </c>
      <c r="Z32" s="19">
        <f>IF(W32=1,MAX(0,MIN(Settings!$B$6,(IFERROR(VLOOKUP(U31,'Bucket Status'!$A$4:$B$75,2,FALSE()),0)-(SUMIF($U$5:$U31,U31,$AK$5:$AK31)+SUMIF($V$5:$V31,U31,$AL$5:$AL31)+SUMIF($Y$5:$Y31,U31,$AA$5:$AA31)+SUMIF($AC$5:$AC31,U31,$AE$5:$AE31))))),IF(AB31&gt;0,AB31,0))</f>
        <v>0</v>
      </c>
      <c r="AA32" s="19">
        <f t="shared" si="9"/>
        <v>0</v>
      </c>
      <c r="AB32" s="19">
        <f t="shared" si="10"/>
        <v>0</v>
      </c>
      <c r="AC32" s="18" t="str">
        <f t="shared" si="23"/>
        <v/>
      </c>
      <c r="AD32" s="19">
        <f>IF(X32=1,MAX(0,MIN(Settings!$B$6-Z32,(IFERROR(VLOOKUP(V31,'Bucket Status'!$A$4:$B$75,2,FALSE()),0)-(SUMIF($U$5:$U31,V31,$AK$5:$AK31)+SUMIF($V$5:$V31,V31,$AL$5:$AL31)+SUMIF($Y$5:$Y31,V31,$AA$5:$AA31)+SUMIF($AC$5:$AC31,V31,$AE$5:$AE31))))),IF(AF31&gt;0,AF31,0))</f>
        <v>0</v>
      </c>
      <c r="AE32" s="19">
        <f t="shared" si="11"/>
        <v>0</v>
      </c>
      <c r="AF32" s="19">
        <f t="shared" si="12"/>
        <v>0</v>
      </c>
      <c r="AG32" s="20">
        <f>IFERROR(IF(C32="Y",Settings!$B$4+Settings!$B$5,0),0)</f>
        <v>0</v>
      </c>
      <c r="AH32" s="21" t="str">
        <f>IFERROR(IF(U32="","",IFERROR(VLOOKUP(U32,'Bucket Status'!$A$4:$B$75,2,FALSE()),0)-(SUMIF($U$5:$U31,U32,$AK$5:$AK31)+SUMIF($V$5:$V31,U32,$AL$5:$AL31)+SUMIF($Y$5:$Y31,U32,$AA$5:$AA31)+SUMIF($AC$5:$AC31,U32,$AE$5:$AE31))),"")</f>
        <v/>
      </c>
      <c r="AI32" s="22" t="str">
        <f>IFERROR(IF(V32="","",IFERROR(VLOOKUP(V32,'Bucket Status'!$A$4:$B$75,2,FALSE()),0)-(SUMIF($U$5:$U31,V32,$AK$5:$AK31)+SUMIF($V$5:$V31,V32,$AL$5:$AL31)+SUMIF($Y$5:$Y31,V32,$AA$5:$AA31)+SUMIF($AC$5:$AC31,V32,$AE$5:$AE31))),"")</f>
        <v/>
      </c>
      <c r="AJ32" s="23" t="str">
        <f t="shared" si="13"/>
        <v/>
      </c>
      <c r="AK32" s="21" t="str">
        <f t="shared" si="14"/>
        <v/>
      </c>
      <c r="AL32" s="22" t="str">
        <f t="shared" si="15"/>
        <v/>
      </c>
    </row>
    <row r="33" spans="1:38" ht="18" customHeight="1" x14ac:dyDescent="0.3">
      <c r="A33" s="3"/>
      <c r="B33" s="50"/>
      <c r="C33" s="4"/>
      <c r="D33" s="5"/>
      <c r="E33" s="5"/>
      <c r="F33" s="6"/>
      <c r="G33" s="6"/>
      <c r="H33" s="7"/>
      <c r="I33" s="8" t="str">
        <f t="shared" si="0"/>
        <v/>
      </c>
      <c r="J33" s="9" t="str">
        <f t="shared" si="1"/>
        <v/>
      </c>
      <c r="K33" s="10" t="str">
        <f t="shared" si="2"/>
        <v/>
      </c>
      <c r="L33" s="11" t="str">
        <f t="shared" si="3"/>
        <v/>
      </c>
      <c r="M33" s="12" t="str">
        <f t="shared" si="4"/>
        <v/>
      </c>
      <c r="N33" s="13" t="str">
        <f t="shared" si="5"/>
        <v/>
      </c>
      <c r="O33" s="14" t="str">
        <f t="shared" si="6"/>
        <v/>
      </c>
      <c r="P33" s="15"/>
      <c r="Q33" s="16" t="str">
        <f t="shared" si="16"/>
        <v/>
      </c>
      <c r="R33" s="16" t="str">
        <f t="shared" si="17"/>
        <v/>
      </c>
      <c r="S33" s="17" t="str">
        <f t="shared" si="18"/>
        <v/>
      </c>
      <c r="T33" s="17" t="str">
        <f t="shared" si="19"/>
        <v/>
      </c>
      <c r="U33" s="16" t="str">
        <f t="shared" si="7"/>
        <v/>
      </c>
      <c r="V33" s="17" t="str">
        <f t="shared" si="8"/>
        <v/>
      </c>
      <c r="W33" s="18">
        <f t="shared" si="20"/>
        <v>0</v>
      </c>
      <c r="X33" s="18">
        <f t="shared" si="21"/>
        <v>0</v>
      </c>
      <c r="Y33" s="18" t="str">
        <f t="shared" si="22"/>
        <v/>
      </c>
      <c r="Z33" s="19">
        <f>IF(W33=1,MAX(0,MIN(Settings!$B$6,(IFERROR(VLOOKUP(U32,'Bucket Status'!$A$4:$B$75,2,FALSE()),0)-(SUMIF($U$5:$U32,U32,$AK$5:$AK32)+SUMIF($V$5:$V32,U32,$AL$5:$AL32)+SUMIF($Y$5:$Y32,U32,$AA$5:$AA32)+SUMIF($AC$5:$AC32,U32,$AE$5:$AE32))))),IF(AB32&gt;0,AB32,0))</f>
        <v>0</v>
      </c>
      <c r="AA33" s="19">
        <f t="shared" si="9"/>
        <v>0</v>
      </c>
      <c r="AB33" s="19">
        <f t="shared" si="10"/>
        <v>0</v>
      </c>
      <c r="AC33" s="18" t="str">
        <f t="shared" si="23"/>
        <v/>
      </c>
      <c r="AD33" s="19">
        <f>IF(X33=1,MAX(0,MIN(Settings!$B$6-Z33,(IFERROR(VLOOKUP(V32,'Bucket Status'!$A$4:$B$75,2,FALSE()),0)-(SUMIF($U$5:$U32,V32,$AK$5:$AK32)+SUMIF($V$5:$V32,V32,$AL$5:$AL32)+SUMIF($Y$5:$Y32,V32,$AA$5:$AA32)+SUMIF($AC$5:$AC32,V32,$AE$5:$AE32))))),IF(AF32&gt;0,AF32,0))</f>
        <v>0</v>
      </c>
      <c r="AE33" s="19">
        <f t="shared" si="11"/>
        <v>0</v>
      </c>
      <c r="AF33" s="19">
        <f t="shared" si="12"/>
        <v>0</v>
      </c>
      <c r="AG33" s="20">
        <f>IFERROR(IF(C33="Y",Settings!$B$4+Settings!$B$5,0),0)</f>
        <v>0</v>
      </c>
      <c r="AH33" s="21" t="str">
        <f>IFERROR(IF(U33="","",IFERROR(VLOOKUP(U33,'Bucket Status'!$A$4:$B$75,2,FALSE()),0)-(SUMIF($U$5:$U32,U33,$AK$5:$AK32)+SUMIF($V$5:$V32,U33,$AL$5:$AL32)+SUMIF($Y$5:$Y32,U33,$AA$5:$AA32)+SUMIF($AC$5:$AC32,U33,$AE$5:$AE32))),"")</f>
        <v/>
      </c>
      <c r="AI33" s="22" t="str">
        <f>IFERROR(IF(V33="","",IFERROR(VLOOKUP(V33,'Bucket Status'!$A$4:$B$75,2,FALSE()),0)-(SUMIF($U$5:$U32,V33,$AK$5:$AK32)+SUMIF($V$5:$V32,V33,$AL$5:$AL32)+SUMIF($Y$5:$Y32,V33,$AA$5:$AA32)+SUMIF($AC$5:$AC32,V33,$AE$5:$AE32))),"")</f>
        <v/>
      </c>
      <c r="AJ33" s="23" t="str">
        <f t="shared" si="13"/>
        <v/>
      </c>
      <c r="AK33" s="21" t="str">
        <f t="shared" si="14"/>
        <v/>
      </c>
      <c r="AL33" s="22" t="str">
        <f t="shared" si="15"/>
        <v/>
      </c>
    </row>
    <row r="34" spans="1:38" ht="18" customHeight="1" x14ac:dyDescent="0.3">
      <c r="A34" s="3"/>
      <c r="B34" s="50"/>
      <c r="C34" s="4"/>
      <c r="D34" s="5"/>
      <c r="E34" s="5"/>
      <c r="F34" s="6"/>
      <c r="G34" s="6"/>
      <c r="H34" s="7"/>
      <c r="I34" s="8" t="str">
        <f t="shared" si="0"/>
        <v/>
      </c>
      <c r="J34" s="9" t="str">
        <f t="shared" si="1"/>
        <v/>
      </c>
      <c r="K34" s="10" t="str">
        <f t="shared" si="2"/>
        <v/>
      </c>
      <c r="L34" s="11" t="str">
        <f t="shared" si="3"/>
        <v/>
      </c>
      <c r="M34" s="12" t="str">
        <f t="shared" si="4"/>
        <v/>
      </c>
      <c r="N34" s="13" t="str">
        <f t="shared" si="5"/>
        <v/>
      </c>
      <c r="O34" s="14" t="str">
        <f t="shared" si="6"/>
        <v/>
      </c>
      <c r="P34" s="15"/>
      <c r="Q34" s="16" t="str">
        <f t="shared" si="16"/>
        <v/>
      </c>
      <c r="R34" s="16" t="str">
        <f t="shared" si="17"/>
        <v/>
      </c>
      <c r="S34" s="17" t="str">
        <f t="shared" si="18"/>
        <v/>
      </c>
      <c r="T34" s="17" t="str">
        <f t="shared" si="19"/>
        <v/>
      </c>
      <c r="U34" s="16" t="str">
        <f t="shared" si="7"/>
        <v/>
      </c>
      <c r="V34" s="17" t="str">
        <f t="shared" si="8"/>
        <v/>
      </c>
      <c r="W34" s="18">
        <f t="shared" si="20"/>
        <v>0</v>
      </c>
      <c r="X34" s="18">
        <f t="shared" si="21"/>
        <v>0</v>
      </c>
      <c r="Y34" s="18" t="str">
        <f t="shared" si="22"/>
        <v/>
      </c>
      <c r="Z34" s="19">
        <f>IF(W34=1,MAX(0,MIN(Settings!$B$6,(IFERROR(VLOOKUP(U33,'Bucket Status'!$A$4:$B$75,2,FALSE()),0)-(SUMIF($U$5:$U33,U33,$AK$5:$AK33)+SUMIF($V$5:$V33,U33,$AL$5:$AL33)+SUMIF($Y$5:$Y33,U33,$AA$5:$AA33)+SUMIF($AC$5:$AC33,U33,$AE$5:$AE33))))),IF(AB33&gt;0,AB33,0))</f>
        <v>0</v>
      </c>
      <c r="AA34" s="19">
        <f t="shared" si="9"/>
        <v>0</v>
      </c>
      <c r="AB34" s="19">
        <f t="shared" si="10"/>
        <v>0</v>
      </c>
      <c r="AC34" s="18" t="str">
        <f t="shared" si="23"/>
        <v/>
      </c>
      <c r="AD34" s="19">
        <f>IF(X34=1,MAX(0,MIN(Settings!$B$6-Z34,(IFERROR(VLOOKUP(V33,'Bucket Status'!$A$4:$B$75,2,FALSE()),0)-(SUMIF($U$5:$U33,V33,$AK$5:$AK33)+SUMIF($V$5:$V33,V33,$AL$5:$AL33)+SUMIF($Y$5:$Y33,V33,$AA$5:$AA33)+SUMIF($AC$5:$AC33,V33,$AE$5:$AE33))))),IF(AF33&gt;0,AF33,0))</f>
        <v>0</v>
      </c>
      <c r="AE34" s="19">
        <f t="shared" si="11"/>
        <v>0</v>
      </c>
      <c r="AF34" s="19">
        <f t="shared" si="12"/>
        <v>0</v>
      </c>
      <c r="AG34" s="20">
        <f>IFERROR(IF(C34="Y",Settings!$B$4+Settings!$B$5,0),0)</f>
        <v>0</v>
      </c>
      <c r="AH34" s="21" t="str">
        <f>IFERROR(IF(U34="","",IFERROR(VLOOKUP(U34,'Bucket Status'!$A$4:$B$75,2,FALSE()),0)-(SUMIF($U$5:$U33,U34,$AK$5:$AK33)+SUMIF($V$5:$V33,U34,$AL$5:$AL33)+SUMIF($Y$5:$Y33,U34,$AA$5:$AA33)+SUMIF($AC$5:$AC33,U34,$AE$5:$AE33))),"")</f>
        <v/>
      </c>
      <c r="AI34" s="22" t="str">
        <f>IFERROR(IF(V34="","",IFERROR(VLOOKUP(V34,'Bucket Status'!$A$4:$B$75,2,FALSE()),0)-(SUMIF($U$5:$U33,V34,$AK$5:$AK33)+SUMIF($V$5:$V33,V34,$AL$5:$AL33)+SUMIF($Y$5:$Y33,V34,$AA$5:$AA33)+SUMIF($AC$5:$AC33,V34,$AE$5:$AE33))),"")</f>
        <v/>
      </c>
      <c r="AJ34" s="23" t="str">
        <f t="shared" si="13"/>
        <v/>
      </c>
      <c r="AK34" s="21" t="str">
        <f t="shared" si="14"/>
        <v/>
      </c>
      <c r="AL34" s="22" t="str">
        <f t="shared" si="15"/>
        <v/>
      </c>
    </row>
    <row r="35" spans="1:38" ht="18" customHeight="1" x14ac:dyDescent="0.3">
      <c r="A35" s="3"/>
      <c r="B35" s="50"/>
      <c r="C35" s="4"/>
      <c r="D35" s="5"/>
      <c r="E35" s="5"/>
      <c r="F35" s="6"/>
      <c r="G35" s="6"/>
      <c r="H35" s="7"/>
      <c r="I35" s="8" t="str">
        <f t="shared" si="0"/>
        <v/>
      </c>
      <c r="J35" s="9" t="str">
        <f t="shared" si="1"/>
        <v/>
      </c>
      <c r="K35" s="10" t="str">
        <f t="shared" si="2"/>
        <v/>
      </c>
      <c r="L35" s="11" t="str">
        <f t="shared" si="3"/>
        <v/>
      </c>
      <c r="M35" s="12" t="str">
        <f t="shared" si="4"/>
        <v/>
      </c>
      <c r="N35" s="13" t="str">
        <f t="shared" si="5"/>
        <v/>
      </c>
      <c r="O35" s="14" t="str">
        <f t="shared" si="6"/>
        <v/>
      </c>
      <c r="P35" s="15"/>
      <c r="Q35" s="16" t="str">
        <f t="shared" si="16"/>
        <v/>
      </c>
      <c r="R35" s="16" t="str">
        <f t="shared" si="17"/>
        <v/>
      </c>
      <c r="S35" s="17" t="str">
        <f t="shared" si="18"/>
        <v/>
      </c>
      <c r="T35" s="17" t="str">
        <f t="shared" si="19"/>
        <v/>
      </c>
      <c r="U35" s="16" t="str">
        <f t="shared" si="7"/>
        <v/>
      </c>
      <c r="V35" s="17" t="str">
        <f t="shared" si="8"/>
        <v/>
      </c>
      <c r="W35" s="18">
        <f t="shared" si="20"/>
        <v>0</v>
      </c>
      <c r="X35" s="18">
        <f t="shared" si="21"/>
        <v>0</v>
      </c>
      <c r="Y35" s="18" t="str">
        <f t="shared" si="22"/>
        <v/>
      </c>
      <c r="Z35" s="19">
        <f>IF(W35=1,MAX(0,MIN(Settings!$B$6,(IFERROR(VLOOKUP(U34,'Bucket Status'!$A$4:$B$75,2,FALSE()),0)-(SUMIF($U$5:$U34,U34,$AK$5:$AK34)+SUMIF($V$5:$V34,U34,$AL$5:$AL34)+SUMIF($Y$5:$Y34,U34,$AA$5:$AA34)+SUMIF($AC$5:$AC34,U34,$AE$5:$AE34))))),IF(AB34&gt;0,AB34,0))</f>
        <v>0</v>
      </c>
      <c r="AA35" s="19">
        <f t="shared" si="9"/>
        <v>0</v>
      </c>
      <c r="AB35" s="19">
        <f t="shared" si="10"/>
        <v>0</v>
      </c>
      <c r="AC35" s="18" t="str">
        <f t="shared" si="23"/>
        <v/>
      </c>
      <c r="AD35" s="19">
        <f>IF(X35=1,MAX(0,MIN(Settings!$B$6-Z35,(IFERROR(VLOOKUP(V34,'Bucket Status'!$A$4:$B$75,2,FALSE()),0)-(SUMIF($U$5:$U34,V34,$AK$5:$AK34)+SUMIF($V$5:$V34,V34,$AL$5:$AL34)+SUMIF($Y$5:$Y34,V34,$AA$5:$AA34)+SUMIF($AC$5:$AC34,V34,$AE$5:$AE34))))),IF(AF34&gt;0,AF34,0))</f>
        <v>0</v>
      </c>
      <c r="AE35" s="19">
        <f t="shared" si="11"/>
        <v>0</v>
      </c>
      <c r="AF35" s="19">
        <f t="shared" si="12"/>
        <v>0</v>
      </c>
      <c r="AG35" s="20">
        <f>IFERROR(IF(C35="Y",Settings!$B$4+Settings!$B$5,0),0)</f>
        <v>0</v>
      </c>
      <c r="AH35" s="21" t="str">
        <f>IFERROR(IF(U35="","",IFERROR(VLOOKUP(U35,'Bucket Status'!$A$4:$B$75,2,FALSE()),0)-(SUMIF($U$5:$U34,U35,$AK$5:$AK34)+SUMIF($V$5:$V34,U35,$AL$5:$AL34)+SUMIF($Y$5:$Y34,U35,$AA$5:$AA34)+SUMIF($AC$5:$AC34,U35,$AE$5:$AE34))),"")</f>
        <v/>
      </c>
      <c r="AI35" s="22" t="str">
        <f>IFERROR(IF(V35="","",IFERROR(VLOOKUP(V35,'Bucket Status'!$A$4:$B$75,2,FALSE()),0)-(SUMIF($U$5:$U34,V35,$AK$5:$AK34)+SUMIF($V$5:$V34,V35,$AL$5:$AL34)+SUMIF($Y$5:$Y34,V35,$AA$5:$AA34)+SUMIF($AC$5:$AC34,V35,$AE$5:$AE34))),"")</f>
        <v/>
      </c>
      <c r="AJ35" s="23" t="str">
        <f t="shared" si="13"/>
        <v/>
      </c>
      <c r="AK35" s="21" t="str">
        <f t="shared" si="14"/>
        <v/>
      </c>
      <c r="AL35" s="22" t="str">
        <f t="shared" si="15"/>
        <v/>
      </c>
    </row>
    <row r="36" spans="1:38" ht="18" customHeight="1" x14ac:dyDescent="0.3">
      <c r="A36" s="3"/>
      <c r="B36" s="50"/>
      <c r="C36" s="4"/>
      <c r="D36" s="5"/>
      <c r="E36" s="5"/>
      <c r="F36" s="6"/>
      <c r="G36" s="6"/>
      <c r="H36" s="7"/>
      <c r="I36" s="8" t="str">
        <f t="shared" si="0"/>
        <v/>
      </c>
      <c r="J36" s="9" t="str">
        <f t="shared" si="1"/>
        <v/>
      </c>
      <c r="K36" s="10" t="str">
        <f t="shared" si="2"/>
        <v/>
      </c>
      <c r="L36" s="11" t="str">
        <f t="shared" si="3"/>
        <v/>
      </c>
      <c r="M36" s="12" t="str">
        <f t="shared" si="4"/>
        <v/>
      </c>
      <c r="N36" s="13" t="str">
        <f t="shared" si="5"/>
        <v/>
      </c>
      <c r="O36" s="14" t="str">
        <f t="shared" si="6"/>
        <v/>
      </c>
      <c r="P36" s="15"/>
      <c r="Q36" s="16" t="str">
        <f t="shared" si="16"/>
        <v/>
      </c>
      <c r="R36" s="16" t="str">
        <f t="shared" si="17"/>
        <v/>
      </c>
      <c r="S36" s="17" t="str">
        <f t="shared" si="18"/>
        <v/>
      </c>
      <c r="T36" s="17" t="str">
        <f t="shared" si="19"/>
        <v/>
      </c>
      <c r="U36" s="16" t="str">
        <f t="shared" si="7"/>
        <v/>
      </c>
      <c r="V36" s="17" t="str">
        <f t="shared" si="8"/>
        <v/>
      </c>
      <c r="W36" s="18">
        <f t="shared" si="20"/>
        <v>0</v>
      </c>
      <c r="X36" s="18">
        <f t="shared" si="21"/>
        <v>0</v>
      </c>
      <c r="Y36" s="18" t="str">
        <f t="shared" si="22"/>
        <v/>
      </c>
      <c r="Z36" s="19">
        <f>IF(W36=1,MAX(0,MIN(Settings!$B$6,(IFERROR(VLOOKUP(U35,'Bucket Status'!$A$4:$B$75,2,FALSE()),0)-(SUMIF($U$5:$U35,U35,$AK$5:$AK35)+SUMIF($V$5:$V35,U35,$AL$5:$AL35)+SUMIF($Y$5:$Y35,U35,$AA$5:$AA35)+SUMIF($AC$5:$AC35,U35,$AE$5:$AE35))))),IF(AB35&gt;0,AB35,0))</f>
        <v>0</v>
      </c>
      <c r="AA36" s="19">
        <f t="shared" si="9"/>
        <v>0</v>
      </c>
      <c r="AB36" s="19">
        <f t="shared" si="10"/>
        <v>0</v>
      </c>
      <c r="AC36" s="18" t="str">
        <f t="shared" si="23"/>
        <v/>
      </c>
      <c r="AD36" s="19">
        <f>IF(X36=1,MAX(0,MIN(Settings!$B$6-Z36,(IFERROR(VLOOKUP(V35,'Bucket Status'!$A$4:$B$75,2,FALSE()),0)-(SUMIF($U$5:$U35,V35,$AK$5:$AK35)+SUMIF($V$5:$V35,V35,$AL$5:$AL35)+SUMIF($Y$5:$Y35,V35,$AA$5:$AA35)+SUMIF($AC$5:$AC35,V35,$AE$5:$AE35))))),IF(AF35&gt;0,AF35,0))</f>
        <v>0</v>
      </c>
      <c r="AE36" s="19">
        <f t="shared" si="11"/>
        <v>0</v>
      </c>
      <c r="AF36" s="19">
        <f t="shared" si="12"/>
        <v>0</v>
      </c>
      <c r="AG36" s="20">
        <f>IFERROR(IF(C36="Y",Settings!$B$4+Settings!$B$5,0),0)</f>
        <v>0</v>
      </c>
      <c r="AH36" s="21" t="str">
        <f>IFERROR(IF(U36="","",IFERROR(VLOOKUP(U36,'Bucket Status'!$A$4:$B$75,2,FALSE()),0)-(SUMIF($U$5:$U35,U36,$AK$5:$AK35)+SUMIF($V$5:$V35,U36,$AL$5:$AL35)+SUMIF($Y$5:$Y35,U36,$AA$5:$AA35)+SUMIF($AC$5:$AC35,U36,$AE$5:$AE35))),"")</f>
        <v/>
      </c>
      <c r="AI36" s="22" t="str">
        <f>IFERROR(IF(V36="","",IFERROR(VLOOKUP(V36,'Bucket Status'!$A$4:$B$75,2,FALSE()),0)-(SUMIF($U$5:$U35,V36,$AK$5:$AK35)+SUMIF($V$5:$V35,V36,$AL$5:$AL35)+SUMIF($Y$5:$Y35,V36,$AA$5:$AA35)+SUMIF($AC$5:$AC35,V36,$AE$5:$AE35))),"")</f>
        <v/>
      </c>
      <c r="AJ36" s="23" t="str">
        <f t="shared" si="13"/>
        <v/>
      </c>
      <c r="AK36" s="21" t="str">
        <f t="shared" si="14"/>
        <v/>
      </c>
      <c r="AL36" s="22" t="str">
        <f t="shared" si="15"/>
        <v/>
      </c>
    </row>
    <row r="37" spans="1:38" ht="18" customHeight="1" x14ac:dyDescent="0.3">
      <c r="A37" s="3"/>
      <c r="B37" s="50"/>
      <c r="C37" s="4"/>
      <c r="D37" s="5"/>
      <c r="E37" s="5"/>
      <c r="F37" s="6"/>
      <c r="G37" s="6"/>
      <c r="H37" s="7"/>
      <c r="I37" s="8" t="str">
        <f t="shared" ref="I37:I68" si="24">IFERROR(IF(H37="","",H37+AG37),"")</f>
        <v/>
      </c>
      <c r="J37" s="9" t="str">
        <f t="shared" ref="J37:J68" si="25">IFERROR(IF(OR(I37="",AJ37=""),"",AJ37-(AK37+AL37)),"")</f>
        <v/>
      </c>
      <c r="K37" s="10" t="str">
        <f t="shared" ref="K37:K68" si="26">IF(AND(AA37&gt;0,AE37&gt;0),TEXT(AA37,"0.000")&amp;" kg "&amp;Y37&amp;" (funnel)"&amp;"  +  "&amp;TEXT(AE37,"0.000")&amp;" kg "&amp;AC37&amp;" (funnel)",IF(AA37&gt;0,TEXT(AA37,"0.000")&amp;" kg "&amp;Y37&amp;" (funnel)",IF(AE37&gt;0,TEXT(AE37,"0.000")&amp;" kg "&amp;AC37&amp;" (funnel)","")))</f>
        <v/>
      </c>
      <c r="L37" s="11" t="str">
        <f t="shared" ref="L37:L68" si="27">IF(OR(AK37="",AK37=0,U37=""),"",TEXT(AK37,"0.000")&amp;" kg "&amp;U37)</f>
        <v/>
      </c>
      <c r="M37" s="12" t="str">
        <f t="shared" ref="M37:M68" si="28">IF(OR(AL37="",AL37=0,V37=""),"",TEXT(AL37,"0.000")&amp;" kg "&amp;V37)</f>
        <v/>
      </c>
      <c r="N37" s="13" t="str">
        <f t="shared" ref="N37:N68" si="29">IF(OR(I37="",U37=""),"",TEXT(MAX(0,(AH37-AK37-IF(Y37=U37,AA37,0)-IF(AC37=U37,AE37,0))),"0.000")&amp;" kg "&amp;U37)</f>
        <v/>
      </c>
      <c r="O37" s="14" t="str">
        <f t="shared" ref="O37:O68" si="30">IF(OR(I37="",V37=""),"",TEXT(MAX(0,(AI37-AL37-IF(Y37=V37,AA37,0)-IF(AC37=V37,AE37,0))),"0.000")&amp;" kg "&amp;V37)</f>
        <v/>
      </c>
      <c r="P37" s="15"/>
      <c r="Q37" s="16" t="str">
        <f t="shared" si="16"/>
        <v/>
      </c>
      <c r="R37" s="16" t="str">
        <f t="shared" si="17"/>
        <v/>
      </c>
      <c r="S37" s="17" t="str">
        <f t="shared" si="18"/>
        <v/>
      </c>
      <c r="T37" s="17" t="str">
        <f t="shared" si="19"/>
        <v/>
      </c>
      <c r="U37" s="16" t="str">
        <f t="shared" ref="U37:U68" si="31">IF(OR(Q37="",R37=""),"",Q37&amp;R37&amp;"-")</f>
        <v/>
      </c>
      <c r="V37" s="17" t="str">
        <f t="shared" ref="V37:V68" si="32">IF(OR(S37="",T37=""),"",S37&amp;T37&amp;"-")</f>
        <v/>
      </c>
      <c r="W37" s="18">
        <f t="shared" si="20"/>
        <v>0</v>
      </c>
      <c r="X37" s="18">
        <f t="shared" si="21"/>
        <v>0</v>
      </c>
      <c r="Y37" s="18" t="str">
        <f t="shared" si="22"/>
        <v/>
      </c>
      <c r="Z37" s="19">
        <f>IF(W37=1,MAX(0,MIN(Settings!$B$6,(IFERROR(VLOOKUP(U36,'Bucket Status'!$A$4:$B$75,2,FALSE()),0)-(SUMIF($U$5:$U36,U36,$AK$5:$AK36)+SUMIF($V$5:$V36,U36,$AL$5:$AL36)+SUMIF($Y$5:$Y36,U36,$AA$5:$AA36)+SUMIF($AC$5:$AC36,U36,$AE$5:$AE36))))),IF(AB36&gt;0,AB36,0))</f>
        <v>0</v>
      </c>
      <c r="AA37" s="19">
        <f t="shared" ref="AA37:AA68" si="33">IFERROR(IF(I37="",0,MAX(0,MIN(Z37,I37))),0)</f>
        <v>0</v>
      </c>
      <c r="AB37" s="19">
        <f t="shared" ref="AB37:AB68" si="34">IFERROR(Z37-AA37,0)</f>
        <v>0</v>
      </c>
      <c r="AC37" s="18" t="str">
        <f t="shared" si="23"/>
        <v/>
      </c>
      <c r="AD37" s="19">
        <f>IF(X37=1,MAX(0,MIN(Settings!$B$6-Z37,(IFERROR(VLOOKUP(V36,'Bucket Status'!$A$4:$B$75,2,FALSE()),0)-(SUMIF($U$5:$U36,V36,$AK$5:$AK36)+SUMIF($V$5:$V36,V36,$AL$5:$AL36)+SUMIF($Y$5:$Y36,V36,$AA$5:$AA36)+SUMIF($AC$5:$AC36,V36,$AE$5:$AE36))))),IF(AF36&gt;0,AF36,0))</f>
        <v>0</v>
      </c>
      <c r="AE37" s="19">
        <f t="shared" ref="AE37:AE68" si="35">IFERROR(IF(I37="",0,MAX(0,MIN(AD37,I37-AA37))),0)</f>
        <v>0</v>
      </c>
      <c r="AF37" s="19">
        <f t="shared" ref="AF37:AF68" si="36">IFERROR(AD37-AE37,0)</f>
        <v>0</v>
      </c>
      <c r="AG37" s="20">
        <f>IFERROR(IF(C37="Y",Settings!$B$4+Settings!$B$5,0),0)</f>
        <v>0</v>
      </c>
      <c r="AH37" s="21" t="str">
        <f>IFERROR(IF(U37="","",IFERROR(VLOOKUP(U37,'Bucket Status'!$A$4:$B$75,2,FALSE()),0)-(SUMIF($U$5:$U36,U37,$AK$5:$AK36)+SUMIF($V$5:$V36,U37,$AL$5:$AL36)+SUMIF($Y$5:$Y36,U37,$AA$5:$AA36)+SUMIF($AC$5:$AC36,U37,$AE$5:$AE36))),"")</f>
        <v/>
      </c>
      <c r="AI37" s="22" t="str">
        <f>IFERROR(IF(V37="","",IFERROR(VLOOKUP(V37,'Bucket Status'!$A$4:$B$75,2,FALSE()),0)-(SUMIF($U$5:$U36,V37,$AK$5:$AK36)+SUMIF($V$5:$V36,V37,$AL$5:$AL36)+SUMIF($Y$5:$Y36,V37,$AA$5:$AA36)+SUMIF($AC$5:$AC36,V37,$AE$5:$AE36))),"")</f>
        <v/>
      </c>
      <c r="AJ37" s="23" t="str">
        <f t="shared" ref="AJ37:AJ68" si="37">IFERROR(IF(AH37="","",AH37+IF(AI37="",0,AI37)),"")</f>
        <v/>
      </c>
      <c r="AK37" s="21" t="str">
        <f t="shared" ref="AK37:AK68" si="38">IFERROR(IF(I37="","",IF(U37="",0,IF(V37="",(I37-AA37-AE37),MIN(AH37,(I37-AA37-AE37))))),"")</f>
        <v/>
      </c>
      <c r="AL37" s="22" t="str">
        <f t="shared" ref="AL37:AL68" si="39">IFERROR(IF(I37="","",IF(V37="",0,MAX(0,(I37-AA37-AE37)-AK37))),"")</f>
        <v/>
      </c>
    </row>
    <row r="38" spans="1:38" ht="18" customHeight="1" x14ac:dyDescent="0.3">
      <c r="A38" s="3"/>
      <c r="B38" s="50"/>
      <c r="C38" s="4"/>
      <c r="D38" s="5"/>
      <c r="E38" s="5"/>
      <c r="F38" s="6"/>
      <c r="G38" s="6"/>
      <c r="H38" s="7"/>
      <c r="I38" s="8" t="str">
        <f t="shared" si="24"/>
        <v/>
      </c>
      <c r="J38" s="9" t="str">
        <f t="shared" si="25"/>
        <v/>
      </c>
      <c r="K38" s="10" t="str">
        <f t="shared" si="26"/>
        <v/>
      </c>
      <c r="L38" s="11" t="str">
        <f t="shared" si="27"/>
        <v/>
      </c>
      <c r="M38" s="12" t="str">
        <f t="shared" si="28"/>
        <v/>
      </c>
      <c r="N38" s="13" t="str">
        <f t="shared" si="29"/>
        <v/>
      </c>
      <c r="O38" s="14" t="str">
        <f t="shared" si="30"/>
        <v/>
      </c>
      <c r="P38" s="15"/>
      <c r="Q38" s="16" t="str">
        <f t="shared" ref="Q38:Q69" si="40">IF($A38="","",IF(D38="",Q37,D38))</f>
        <v/>
      </c>
      <c r="R38" s="16" t="str">
        <f t="shared" ref="R38:R69" si="41">IF($A38="","",IF(E38="",R37,E38))</f>
        <v/>
      </c>
      <c r="S38" s="17" t="str">
        <f t="shared" ref="S38:S69" si="42">IF($A38="","",IF(F38="",S37,F38))</f>
        <v/>
      </c>
      <c r="T38" s="17" t="str">
        <f t="shared" ref="T38:T69" si="43">IF($A38="","",IF(G38="",T37,G38))</f>
        <v/>
      </c>
      <c r="U38" s="16" t="str">
        <f t="shared" si="31"/>
        <v/>
      </c>
      <c r="V38" s="17" t="str">
        <f t="shared" si="32"/>
        <v/>
      </c>
      <c r="W38" s="18">
        <f t="shared" ref="W38:W69" si="44">IF(AND(U38&lt;&gt;"",U37&lt;&gt;"",U38&lt;&gt;U37),1,0)</f>
        <v>0</v>
      </c>
      <c r="X38" s="18">
        <f t="shared" ref="X38:X69" si="45">IF(AND(V38&lt;&gt;"",V37&lt;&gt;"",V38&lt;&gt;V37),1,0)</f>
        <v>0</v>
      </c>
      <c r="Y38" s="18" t="str">
        <f t="shared" ref="Y38:Y69" si="46">IF(W38=1,U37,IF(AB37&gt;0,Y37,""))</f>
        <v/>
      </c>
      <c r="Z38" s="19">
        <f>IF(W38=1,MAX(0,MIN(Settings!$B$6,(IFERROR(VLOOKUP(U37,'Bucket Status'!$A$4:$B$75,2,FALSE()),0)-(SUMIF($U$5:$U37,U37,$AK$5:$AK37)+SUMIF($V$5:$V37,U37,$AL$5:$AL37)+SUMIF($Y$5:$Y37,U37,$AA$5:$AA37)+SUMIF($AC$5:$AC37,U37,$AE$5:$AE37))))),IF(AB37&gt;0,AB37,0))</f>
        <v>0</v>
      </c>
      <c r="AA38" s="19">
        <f t="shared" si="33"/>
        <v>0</v>
      </c>
      <c r="AB38" s="19">
        <f t="shared" si="34"/>
        <v>0</v>
      </c>
      <c r="AC38" s="18" t="str">
        <f t="shared" ref="AC38:AC69" si="47">IF(X38=1,V37,IF(AF37&gt;0,AC37,""))</f>
        <v/>
      </c>
      <c r="AD38" s="19">
        <f>IF(X38=1,MAX(0,MIN(Settings!$B$6-Z38,(IFERROR(VLOOKUP(V37,'Bucket Status'!$A$4:$B$75,2,FALSE()),0)-(SUMIF($U$5:$U37,V37,$AK$5:$AK37)+SUMIF($V$5:$V37,V37,$AL$5:$AL37)+SUMIF($Y$5:$Y37,V37,$AA$5:$AA37)+SUMIF($AC$5:$AC37,V37,$AE$5:$AE37))))),IF(AF37&gt;0,AF37,0))</f>
        <v>0</v>
      </c>
      <c r="AE38" s="19">
        <f t="shared" si="35"/>
        <v>0</v>
      </c>
      <c r="AF38" s="19">
        <f t="shared" si="36"/>
        <v>0</v>
      </c>
      <c r="AG38" s="20">
        <f>IFERROR(IF(C38="Y",Settings!$B$4+Settings!$B$5,0),0)</f>
        <v>0</v>
      </c>
      <c r="AH38" s="21" t="str">
        <f>IFERROR(IF(U38="","",IFERROR(VLOOKUP(U38,'Bucket Status'!$A$4:$B$75,2,FALSE()),0)-(SUMIF($U$5:$U37,U38,$AK$5:$AK37)+SUMIF($V$5:$V37,U38,$AL$5:$AL37)+SUMIF($Y$5:$Y37,U38,$AA$5:$AA37)+SUMIF($AC$5:$AC37,U38,$AE$5:$AE37))),"")</f>
        <v/>
      </c>
      <c r="AI38" s="22" t="str">
        <f>IFERROR(IF(V38="","",IFERROR(VLOOKUP(V38,'Bucket Status'!$A$4:$B$75,2,FALSE()),0)-(SUMIF($U$5:$U37,V38,$AK$5:$AK37)+SUMIF($V$5:$V37,V38,$AL$5:$AL37)+SUMIF($Y$5:$Y37,V38,$AA$5:$AA37)+SUMIF($AC$5:$AC37,V38,$AE$5:$AE37))),"")</f>
        <v/>
      </c>
      <c r="AJ38" s="23" t="str">
        <f t="shared" si="37"/>
        <v/>
      </c>
      <c r="AK38" s="21" t="str">
        <f t="shared" si="38"/>
        <v/>
      </c>
      <c r="AL38" s="22" t="str">
        <f t="shared" si="39"/>
        <v/>
      </c>
    </row>
    <row r="39" spans="1:38" ht="18" customHeight="1" x14ac:dyDescent="0.3">
      <c r="A39" s="3"/>
      <c r="B39" s="50"/>
      <c r="C39" s="4"/>
      <c r="D39" s="5"/>
      <c r="E39" s="5"/>
      <c r="F39" s="6"/>
      <c r="G39" s="6"/>
      <c r="H39" s="7"/>
      <c r="I39" s="8" t="str">
        <f t="shared" si="24"/>
        <v/>
      </c>
      <c r="J39" s="9" t="str">
        <f t="shared" si="25"/>
        <v/>
      </c>
      <c r="K39" s="10" t="str">
        <f t="shared" si="26"/>
        <v/>
      </c>
      <c r="L39" s="11" t="str">
        <f t="shared" si="27"/>
        <v/>
      </c>
      <c r="M39" s="12" t="str">
        <f t="shared" si="28"/>
        <v/>
      </c>
      <c r="N39" s="13" t="str">
        <f t="shared" si="29"/>
        <v/>
      </c>
      <c r="O39" s="14" t="str">
        <f t="shared" si="30"/>
        <v/>
      </c>
      <c r="P39" s="15"/>
      <c r="Q39" s="16" t="str">
        <f t="shared" si="40"/>
        <v/>
      </c>
      <c r="R39" s="16" t="str">
        <f t="shared" si="41"/>
        <v/>
      </c>
      <c r="S39" s="17" t="str">
        <f t="shared" si="42"/>
        <v/>
      </c>
      <c r="T39" s="17" t="str">
        <f t="shared" si="43"/>
        <v/>
      </c>
      <c r="U39" s="16" t="str">
        <f t="shared" si="31"/>
        <v/>
      </c>
      <c r="V39" s="17" t="str">
        <f t="shared" si="32"/>
        <v/>
      </c>
      <c r="W39" s="18">
        <f t="shared" si="44"/>
        <v>0</v>
      </c>
      <c r="X39" s="18">
        <f t="shared" si="45"/>
        <v>0</v>
      </c>
      <c r="Y39" s="18" t="str">
        <f t="shared" si="46"/>
        <v/>
      </c>
      <c r="Z39" s="19">
        <f>IF(W39=1,MAX(0,MIN(Settings!$B$6,(IFERROR(VLOOKUP(U38,'Bucket Status'!$A$4:$B$75,2,FALSE()),0)-(SUMIF($U$5:$U38,U38,$AK$5:$AK38)+SUMIF($V$5:$V38,U38,$AL$5:$AL38)+SUMIF($Y$5:$Y38,U38,$AA$5:$AA38)+SUMIF($AC$5:$AC38,U38,$AE$5:$AE38))))),IF(AB38&gt;0,AB38,0))</f>
        <v>0</v>
      </c>
      <c r="AA39" s="19">
        <f t="shared" si="33"/>
        <v>0</v>
      </c>
      <c r="AB39" s="19">
        <f t="shared" si="34"/>
        <v>0</v>
      </c>
      <c r="AC39" s="18" t="str">
        <f t="shared" si="47"/>
        <v/>
      </c>
      <c r="AD39" s="19">
        <f>IF(X39=1,MAX(0,MIN(Settings!$B$6-Z39,(IFERROR(VLOOKUP(V38,'Bucket Status'!$A$4:$B$75,2,FALSE()),0)-(SUMIF($U$5:$U38,V38,$AK$5:$AK38)+SUMIF($V$5:$V38,V38,$AL$5:$AL38)+SUMIF($Y$5:$Y38,V38,$AA$5:$AA38)+SUMIF($AC$5:$AC38,V38,$AE$5:$AE38))))),IF(AF38&gt;0,AF38,0))</f>
        <v>0</v>
      </c>
      <c r="AE39" s="19">
        <f t="shared" si="35"/>
        <v>0</v>
      </c>
      <c r="AF39" s="19">
        <f t="shared" si="36"/>
        <v>0</v>
      </c>
      <c r="AG39" s="20">
        <f>IFERROR(IF(C39="Y",Settings!$B$4+Settings!$B$5,0),0)</f>
        <v>0</v>
      </c>
      <c r="AH39" s="21" t="str">
        <f>IFERROR(IF(U39="","",IFERROR(VLOOKUP(U39,'Bucket Status'!$A$4:$B$75,2,FALSE()),0)-(SUMIF($U$5:$U38,U39,$AK$5:$AK38)+SUMIF($V$5:$V38,U39,$AL$5:$AL38)+SUMIF($Y$5:$Y38,U39,$AA$5:$AA38)+SUMIF($AC$5:$AC38,U39,$AE$5:$AE38))),"")</f>
        <v/>
      </c>
      <c r="AI39" s="22" t="str">
        <f>IFERROR(IF(V39="","",IFERROR(VLOOKUP(V39,'Bucket Status'!$A$4:$B$75,2,FALSE()),0)-(SUMIF($U$5:$U38,V39,$AK$5:$AK38)+SUMIF($V$5:$V38,V39,$AL$5:$AL38)+SUMIF($Y$5:$Y38,V39,$AA$5:$AA38)+SUMIF($AC$5:$AC38,V39,$AE$5:$AE38))),"")</f>
        <v/>
      </c>
      <c r="AJ39" s="23" t="str">
        <f t="shared" si="37"/>
        <v/>
      </c>
      <c r="AK39" s="21" t="str">
        <f t="shared" si="38"/>
        <v/>
      </c>
      <c r="AL39" s="22" t="str">
        <f t="shared" si="39"/>
        <v/>
      </c>
    </row>
    <row r="40" spans="1:38" ht="18" customHeight="1" x14ac:dyDescent="0.3">
      <c r="A40" s="3"/>
      <c r="B40" s="50"/>
      <c r="C40" s="4"/>
      <c r="D40" s="5"/>
      <c r="E40" s="5"/>
      <c r="F40" s="6"/>
      <c r="G40" s="6"/>
      <c r="H40" s="7"/>
      <c r="I40" s="8" t="str">
        <f t="shared" si="24"/>
        <v/>
      </c>
      <c r="J40" s="9" t="str">
        <f t="shared" si="25"/>
        <v/>
      </c>
      <c r="K40" s="10" t="str">
        <f t="shared" si="26"/>
        <v/>
      </c>
      <c r="L40" s="11" t="str">
        <f t="shared" si="27"/>
        <v/>
      </c>
      <c r="M40" s="12" t="str">
        <f t="shared" si="28"/>
        <v/>
      </c>
      <c r="N40" s="13" t="str">
        <f t="shared" si="29"/>
        <v/>
      </c>
      <c r="O40" s="14" t="str">
        <f t="shared" si="30"/>
        <v/>
      </c>
      <c r="P40" s="15"/>
      <c r="Q40" s="16" t="str">
        <f t="shared" si="40"/>
        <v/>
      </c>
      <c r="R40" s="16" t="str">
        <f t="shared" si="41"/>
        <v/>
      </c>
      <c r="S40" s="17" t="str">
        <f t="shared" si="42"/>
        <v/>
      </c>
      <c r="T40" s="17" t="str">
        <f t="shared" si="43"/>
        <v/>
      </c>
      <c r="U40" s="16" t="str">
        <f t="shared" si="31"/>
        <v/>
      </c>
      <c r="V40" s="17" t="str">
        <f t="shared" si="32"/>
        <v/>
      </c>
      <c r="W40" s="18">
        <f t="shared" si="44"/>
        <v>0</v>
      </c>
      <c r="X40" s="18">
        <f t="shared" si="45"/>
        <v>0</v>
      </c>
      <c r="Y40" s="18" t="str">
        <f t="shared" si="46"/>
        <v/>
      </c>
      <c r="Z40" s="19">
        <f>IF(W40=1,MAX(0,MIN(Settings!$B$6,(IFERROR(VLOOKUP(U39,'Bucket Status'!$A$4:$B$75,2,FALSE()),0)-(SUMIF($U$5:$U39,U39,$AK$5:$AK39)+SUMIF($V$5:$V39,U39,$AL$5:$AL39)+SUMIF($Y$5:$Y39,U39,$AA$5:$AA39)+SUMIF($AC$5:$AC39,U39,$AE$5:$AE39))))),IF(AB39&gt;0,AB39,0))</f>
        <v>0</v>
      </c>
      <c r="AA40" s="19">
        <f t="shared" si="33"/>
        <v>0</v>
      </c>
      <c r="AB40" s="19">
        <f t="shared" si="34"/>
        <v>0</v>
      </c>
      <c r="AC40" s="18" t="str">
        <f t="shared" si="47"/>
        <v/>
      </c>
      <c r="AD40" s="19">
        <f>IF(X40=1,MAX(0,MIN(Settings!$B$6-Z40,(IFERROR(VLOOKUP(V39,'Bucket Status'!$A$4:$B$75,2,FALSE()),0)-(SUMIF($U$5:$U39,V39,$AK$5:$AK39)+SUMIF($V$5:$V39,V39,$AL$5:$AL39)+SUMIF($Y$5:$Y39,V39,$AA$5:$AA39)+SUMIF($AC$5:$AC39,V39,$AE$5:$AE39))))),IF(AF39&gt;0,AF39,0))</f>
        <v>0</v>
      </c>
      <c r="AE40" s="19">
        <f t="shared" si="35"/>
        <v>0</v>
      </c>
      <c r="AF40" s="19">
        <f t="shared" si="36"/>
        <v>0</v>
      </c>
      <c r="AG40" s="20">
        <f>IFERROR(IF(C40="Y",Settings!$B$4+Settings!$B$5,0),0)</f>
        <v>0</v>
      </c>
      <c r="AH40" s="21" t="str">
        <f>IFERROR(IF(U40="","",IFERROR(VLOOKUP(U40,'Bucket Status'!$A$4:$B$75,2,FALSE()),0)-(SUMIF($U$5:$U39,U40,$AK$5:$AK39)+SUMIF($V$5:$V39,U40,$AL$5:$AL39)+SUMIF($Y$5:$Y39,U40,$AA$5:$AA39)+SUMIF($AC$5:$AC39,U40,$AE$5:$AE39))),"")</f>
        <v/>
      </c>
      <c r="AI40" s="22" t="str">
        <f>IFERROR(IF(V40="","",IFERROR(VLOOKUP(V40,'Bucket Status'!$A$4:$B$75,2,FALSE()),0)-(SUMIF($U$5:$U39,V40,$AK$5:$AK39)+SUMIF($V$5:$V39,V40,$AL$5:$AL39)+SUMIF($Y$5:$Y39,V40,$AA$5:$AA39)+SUMIF($AC$5:$AC39,V40,$AE$5:$AE39))),"")</f>
        <v/>
      </c>
      <c r="AJ40" s="23" t="str">
        <f t="shared" si="37"/>
        <v/>
      </c>
      <c r="AK40" s="21" t="str">
        <f t="shared" si="38"/>
        <v/>
      </c>
      <c r="AL40" s="22" t="str">
        <f t="shared" si="39"/>
        <v/>
      </c>
    </row>
    <row r="41" spans="1:38" ht="18" customHeight="1" x14ac:dyDescent="0.3">
      <c r="A41" s="3"/>
      <c r="B41" s="50"/>
      <c r="C41" s="4"/>
      <c r="D41" s="5"/>
      <c r="E41" s="5"/>
      <c r="F41" s="6"/>
      <c r="G41" s="6"/>
      <c r="H41" s="7"/>
      <c r="I41" s="8" t="str">
        <f t="shared" si="24"/>
        <v/>
      </c>
      <c r="J41" s="9" t="str">
        <f t="shared" si="25"/>
        <v/>
      </c>
      <c r="K41" s="10" t="str">
        <f t="shared" si="26"/>
        <v/>
      </c>
      <c r="L41" s="11" t="str">
        <f t="shared" si="27"/>
        <v/>
      </c>
      <c r="M41" s="12" t="str">
        <f t="shared" si="28"/>
        <v/>
      </c>
      <c r="N41" s="13" t="str">
        <f t="shared" si="29"/>
        <v/>
      </c>
      <c r="O41" s="14" t="str">
        <f t="shared" si="30"/>
        <v/>
      </c>
      <c r="P41" s="15"/>
      <c r="Q41" s="16" t="str">
        <f t="shared" si="40"/>
        <v/>
      </c>
      <c r="R41" s="16" t="str">
        <f t="shared" si="41"/>
        <v/>
      </c>
      <c r="S41" s="17" t="str">
        <f t="shared" si="42"/>
        <v/>
      </c>
      <c r="T41" s="17" t="str">
        <f t="shared" si="43"/>
        <v/>
      </c>
      <c r="U41" s="16" t="str">
        <f t="shared" si="31"/>
        <v/>
      </c>
      <c r="V41" s="17" t="str">
        <f t="shared" si="32"/>
        <v/>
      </c>
      <c r="W41" s="18">
        <f t="shared" si="44"/>
        <v>0</v>
      </c>
      <c r="X41" s="18">
        <f t="shared" si="45"/>
        <v>0</v>
      </c>
      <c r="Y41" s="18" t="str">
        <f t="shared" si="46"/>
        <v/>
      </c>
      <c r="Z41" s="19">
        <f>IF(W41=1,MAX(0,MIN(Settings!$B$6,(IFERROR(VLOOKUP(U40,'Bucket Status'!$A$4:$B$75,2,FALSE()),0)-(SUMIF($U$5:$U40,U40,$AK$5:$AK40)+SUMIF($V$5:$V40,U40,$AL$5:$AL40)+SUMIF($Y$5:$Y40,U40,$AA$5:$AA40)+SUMIF($AC$5:$AC40,U40,$AE$5:$AE40))))),IF(AB40&gt;0,AB40,0))</f>
        <v>0</v>
      </c>
      <c r="AA41" s="19">
        <f t="shared" si="33"/>
        <v>0</v>
      </c>
      <c r="AB41" s="19">
        <f t="shared" si="34"/>
        <v>0</v>
      </c>
      <c r="AC41" s="18" t="str">
        <f t="shared" si="47"/>
        <v/>
      </c>
      <c r="AD41" s="19">
        <f>IF(X41=1,MAX(0,MIN(Settings!$B$6-Z41,(IFERROR(VLOOKUP(V40,'Bucket Status'!$A$4:$B$75,2,FALSE()),0)-(SUMIF($U$5:$U40,V40,$AK$5:$AK40)+SUMIF($V$5:$V40,V40,$AL$5:$AL40)+SUMIF($Y$5:$Y40,V40,$AA$5:$AA40)+SUMIF($AC$5:$AC40,V40,$AE$5:$AE40))))),IF(AF40&gt;0,AF40,0))</f>
        <v>0</v>
      </c>
      <c r="AE41" s="19">
        <f t="shared" si="35"/>
        <v>0</v>
      </c>
      <c r="AF41" s="19">
        <f t="shared" si="36"/>
        <v>0</v>
      </c>
      <c r="AG41" s="20">
        <f>IFERROR(IF(C41="Y",Settings!$B$4+Settings!$B$5,0),0)</f>
        <v>0</v>
      </c>
      <c r="AH41" s="21" t="str">
        <f>IFERROR(IF(U41="","",IFERROR(VLOOKUP(U41,'Bucket Status'!$A$4:$B$75,2,FALSE()),0)-(SUMIF($U$5:$U40,U41,$AK$5:$AK40)+SUMIF($V$5:$V40,U41,$AL$5:$AL40)+SUMIF($Y$5:$Y40,U41,$AA$5:$AA40)+SUMIF($AC$5:$AC40,U41,$AE$5:$AE40))),"")</f>
        <v/>
      </c>
      <c r="AI41" s="22" t="str">
        <f>IFERROR(IF(V41="","",IFERROR(VLOOKUP(V41,'Bucket Status'!$A$4:$B$75,2,FALSE()),0)-(SUMIF($U$5:$U40,V41,$AK$5:$AK40)+SUMIF($V$5:$V40,V41,$AL$5:$AL40)+SUMIF($Y$5:$Y40,V41,$AA$5:$AA40)+SUMIF($AC$5:$AC40,V41,$AE$5:$AE40))),"")</f>
        <v/>
      </c>
      <c r="AJ41" s="23" t="str">
        <f t="shared" si="37"/>
        <v/>
      </c>
      <c r="AK41" s="21" t="str">
        <f t="shared" si="38"/>
        <v/>
      </c>
      <c r="AL41" s="22" t="str">
        <f t="shared" si="39"/>
        <v/>
      </c>
    </row>
    <row r="42" spans="1:38" ht="18" customHeight="1" x14ac:dyDescent="0.3">
      <c r="A42" s="3"/>
      <c r="B42" s="50"/>
      <c r="C42" s="4"/>
      <c r="D42" s="5"/>
      <c r="E42" s="5"/>
      <c r="F42" s="6"/>
      <c r="G42" s="6"/>
      <c r="H42" s="7"/>
      <c r="I42" s="8" t="str">
        <f t="shared" si="24"/>
        <v/>
      </c>
      <c r="J42" s="9" t="str">
        <f t="shared" si="25"/>
        <v/>
      </c>
      <c r="K42" s="10" t="str">
        <f t="shared" si="26"/>
        <v/>
      </c>
      <c r="L42" s="11" t="str">
        <f t="shared" si="27"/>
        <v/>
      </c>
      <c r="M42" s="12" t="str">
        <f t="shared" si="28"/>
        <v/>
      </c>
      <c r="N42" s="13" t="str">
        <f t="shared" si="29"/>
        <v/>
      </c>
      <c r="O42" s="14" t="str">
        <f t="shared" si="30"/>
        <v/>
      </c>
      <c r="P42" s="15"/>
      <c r="Q42" s="16" t="str">
        <f t="shared" si="40"/>
        <v/>
      </c>
      <c r="R42" s="16" t="str">
        <f t="shared" si="41"/>
        <v/>
      </c>
      <c r="S42" s="17" t="str">
        <f t="shared" si="42"/>
        <v/>
      </c>
      <c r="T42" s="17" t="str">
        <f t="shared" si="43"/>
        <v/>
      </c>
      <c r="U42" s="16" t="str">
        <f t="shared" si="31"/>
        <v/>
      </c>
      <c r="V42" s="17" t="str">
        <f t="shared" si="32"/>
        <v/>
      </c>
      <c r="W42" s="18">
        <f t="shared" si="44"/>
        <v>0</v>
      </c>
      <c r="X42" s="18">
        <f t="shared" si="45"/>
        <v>0</v>
      </c>
      <c r="Y42" s="18" t="str">
        <f t="shared" si="46"/>
        <v/>
      </c>
      <c r="Z42" s="19">
        <f>IF(W42=1,MAX(0,MIN(Settings!$B$6,(IFERROR(VLOOKUP(U41,'Bucket Status'!$A$4:$B$75,2,FALSE()),0)-(SUMIF($U$5:$U41,U41,$AK$5:$AK41)+SUMIF($V$5:$V41,U41,$AL$5:$AL41)+SUMIF($Y$5:$Y41,U41,$AA$5:$AA41)+SUMIF($AC$5:$AC41,U41,$AE$5:$AE41))))),IF(AB41&gt;0,AB41,0))</f>
        <v>0</v>
      </c>
      <c r="AA42" s="19">
        <f t="shared" si="33"/>
        <v>0</v>
      </c>
      <c r="AB42" s="19">
        <f t="shared" si="34"/>
        <v>0</v>
      </c>
      <c r="AC42" s="18" t="str">
        <f t="shared" si="47"/>
        <v/>
      </c>
      <c r="AD42" s="19">
        <f>IF(X42=1,MAX(0,MIN(Settings!$B$6-Z42,(IFERROR(VLOOKUP(V41,'Bucket Status'!$A$4:$B$75,2,FALSE()),0)-(SUMIF($U$5:$U41,V41,$AK$5:$AK41)+SUMIF($V$5:$V41,V41,$AL$5:$AL41)+SUMIF($Y$5:$Y41,V41,$AA$5:$AA41)+SUMIF($AC$5:$AC41,V41,$AE$5:$AE41))))),IF(AF41&gt;0,AF41,0))</f>
        <v>0</v>
      </c>
      <c r="AE42" s="19">
        <f t="shared" si="35"/>
        <v>0</v>
      </c>
      <c r="AF42" s="19">
        <f t="shared" si="36"/>
        <v>0</v>
      </c>
      <c r="AG42" s="20">
        <f>IFERROR(IF(C42="Y",Settings!$B$4+Settings!$B$5,0),0)</f>
        <v>0</v>
      </c>
      <c r="AH42" s="21" t="str">
        <f>IFERROR(IF(U42="","",IFERROR(VLOOKUP(U42,'Bucket Status'!$A$4:$B$75,2,FALSE()),0)-(SUMIF($U$5:$U41,U42,$AK$5:$AK41)+SUMIF($V$5:$V41,U42,$AL$5:$AL41)+SUMIF($Y$5:$Y41,U42,$AA$5:$AA41)+SUMIF($AC$5:$AC41,U42,$AE$5:$AE41))),"")</f>
        <v/>
      </c>
      <c r="AI42" s="22" t="str">
        <f>IFERROR(IF(V42="","",IFERROR(VLOOKUP(V42,'Bucket Status'!$A$4:$B$75,2,FALSE()),0)-(SUMIF($U$5:$U41,V42,$AK$5:$AK41)+SUMIF($V$5:$V41,V42,$AL$5:$AL41)+SUMIF($Y$5:$Y41,V42,$AA$5:$AA41)+SUMIF($AC$5:$AC41,V42,$AE$5:$AE41))),"")</f>
        <v/>
      </c>
      <c r="AJ42" s="23" t="str">
        <f t="shared" si="37"/>
        <v/>
      </c>
      <c r="AK42" s="21" t="str">
        <f t="shared" si="38"/>
        <v/>
      </c>
      <c r="AL42" s="22" t="str">
        <f t="shared" si="39"/>
        <v/>
      </c>
    </row>
    <row r="43" spans="1:38" ht="18" customHeight="1" x14ac:dyDescent="0.3">
      <c r="A43" s="3"/>
      <c r="B43" s="50"/>
      <c r="C43" s="4"/>
      <c r="D43" s="5"/>
      <c r="E43" s="5"/>
      <c r="F43" s="6"/>
      <c r="G43" s="6"/>
      <c r="H43" s="7"/>
      <c r="I43" s="8" t="str">
        <f t="shared" si="24"/>
        <v/>
      </c>
      <c r="J43" s="9" t="str">
        <f t="shared" si="25"/>
        <v/>
      </c>
      <c r="K43" s="10" t="str">
        <f t="shared" si="26"/>
        <v/>
      </c>
      <c r="L43" s="11" t="str">
        <f t="shared" si="27"/>
        <v/>
      </c>
      <c r="M43" s="12" t="str">
        <f t="shared" si="28"/>
        <v/>
      </c>
      <c r="N43" s="13" t="str">
        <f t="shared" si="29"/>
        <v/>
      </c>
      <c r="O43" s="14" t="str">
        <f t="shared" si="30"/>
        <v/>
      </c>
      <c r="P43" s="15"/>
      <c r="Q43" s="16" t="str">
        <f t="shared" si="40"/>
        <v/>
      </c>
      <c r="R43" s="16" t="str">
        <f t="shared" si="41"/>
        <v/>
      </c>
      <c r="S43" s="17" t="str">
        <f t="shared" si="42"/>
        <v/>
      </c>
      <c r="T43" s="17" t="str">
        <f t="shared" si="43"/>
        <v/>
      </c>
      <c r="U43" s="16" t="str">
        <f t="shared" si="31"/>
        <v/>
      </c>
      <c r="V43" s="17" t="str">
        <f t="shared" si="32"/>
        <v/>
      </c>
      <c r="W43" s="18">
        <f t="shared" si="44"/>
        <v>0</v>
      </c>
      <c r="X43" s="18">
        <f t="shared" si="45"/>
        <v>0</v>
      </c>
      <c r="Y43" s="18" t="str">
        <f t="shared" si="46"/>
        <v/>
      </c>
      <c r="Z43" s="19">
        <f>IF(W43=1,MAX(0,MIN(Settings!$B$6,(IFERROR(VLOOKUP(U42,'Bucket Status'!$A$4:$B$75,2,FALSE()),0)-(SUMIF($U$5:$U42,U42,$AK$5:$AK42)+SUMIF($V$5:$V42,U42,$AL$5:$AL42)+SUMIF($Y$5:$Y42,U42,$AA$5:$AA42)+SUMIF($AC$5:$AC42,U42,$AE$5:$AE42))))),IF(AB42&gt;0,AB42,0))</f>
        <v>0</v>
      </c>
      <c r="AA43" s="19">
        <f t="shared" si="33"/>
        <v>0</v>
      </c>
      <c r="AB43" s="19">
        <f t="shared" si="34"/>
        <v>0</v>
      </c>
      <c r="AC43" s="18" t="str">
        <f t="shared" si="47"/>
        <v/>
      </c>
      <c r="AD43" s="19">
        <f>IF(X43=1,MAX(0,MIN(Settings!$B$6-Z43,(IFERROR(VLOOKUP(V42,'Bucket Status'!$A$4:$B$75,2,FALSE()),0)-(SUMIF($U$5:$U42,V42,$AK$5:$AK42)+SUMIF($V$5:$V42,V42,$AL$5:$AL42)+SUMIF($Y$5:$Y42,V42,$AA$5:$AA42)+SUMIF($AC$5:$AC42,V42,$AE$5:$AE42))))),IF(AF42&gt;0,AF42,0))</f>
        <v>0</v>
      </c>
      <c r="AE43" s="19">
        <f t="shared" si="35"/>
        <v>0</v>
      </c>
      <c r="AF43" s="19">
        <f t="shared" si="36"/>
        <v>0</v>
      </c>
      <c r="AG43" s="20">
        <f>IFERROR(IF(C43="Y",Settings!$B$4+Settings!$B$5,0),0)</f>
        <v>0</v>
      </c>
      <c r="AH43" s="21" t="str">
        <f>IFERROR(IF(U43="","",IFERROR(VLOOKUP(U43,'Bucket Status'!$A$4:$B$75,2,FALSE()),0)-(SUMIF($U$5:$U42,U43,$AK$5:$AK42)+SUMIF($V$5:$V42,U43,$AL$5:$AL42)+SUMIF($Y$5:$Y42,U43,$AA$5:$AA42)+SUMIF($AC$5:$AC42,U43,$AE$5:$AE42))),"")</f>
        <v/>
      </c>
      <c r="AI43" s="22" t="str">
        <f>IFERROR(IF(V43="","",IFERROR(VLOOKUP(V43,'Bucket Status'!$A$4:$B$75,2,FALSE()),0)-(SUMIF($U$5:$U42,V43,$AK$5:$AK42)+SUMIF($V$5:$V42,V43,$AL$5:$AL42)+SUMIF($Y$5:$Y42,V43,$AA$5:$AA42)+SUMIF($AC$5:$AC42,V43,$AE$5:$AE42))),"")</f>
        <v/>
      </c>
      <c r="AJ43" s="23" t="str">
        <f t="shared" si="37"/>
        <v/>
      </c>
      <c r="AK43" s="21" t="str">
        <f t="shared" si="38"/>
        <v/>
      </c>
      <c r="AL43" s="22" t="str">
        <f t="shared" si="39"/>
        <v/>
      </c>
    </row>
    <row r="44" spans="1:38" ht="18" customHeight="1" x14ac:dyDescent="0.3">
      <c r="A44" s="3"/>
      <c r="B44" s="50"/>
      <c r="C44" s="4"/>
      <c r="D44" s="5"/>
      <c r="E44" s="5"/>
      <c r="F44" s="6"/>
      <c r="G44" s="6"/>
      <c r="H44" s="7"/>
      <c r="I44" s="8" t="str">
        <f t="shared" si="24"/>
        <v/>
      </c>
      <c r="J44" s="9" t="str">
        <f t="shared" si="25"/>
        <v/>
      </c>
      <c r="K44" s="10" t="str">
        <f t="shared" si="26"/>
        <v/>
      </c>
      <c r="L44" s="11" t="str">
        <f t="shared" si="27"/>
        <v/>
      </c>
      <c r="M44" s="12" t="str">
        <f t="shared" si="28"/>
        <v/>
      </c>
      <c r="N44" s="13" t="str">
        <f t="shared" si="29"/>
        <v/>
      </c>
      <c r="O44" s="14" t="str">
        <f t="shared" si="30"/>
        <v/>
      </c>
      <c r="P44" s="15"/>
      <c r="Q44" s="16" t="str">
        <f t="shared" si="40"/>
        <v/>
      </c>
      <c r="R44" s="16" t="str">
        <f t="shared" si="41"/>
        <v/>
      </c>
      <c r="S44" s="17" t="str">
        <f t="shared" si="42"/>
        <v/>
      </c>
      <c r="T44" s="17" t="str">
        <f t="shared" si="43"/>
        <v/>
      </c>
      <c r="U44" s="16" t="str">
        <f t="shared" si="31"/>
        <v/>
      </c>
      <c r="V44" s="17" t="str">
        <f t="shared" si="32"/>
        <v/>
      </c>
      <c r="W44" s="18">
        <f t="shared" si="44"/>
        <v>0</v>
      </c>
      <c r="X44" s="18">
        <f t="shared" si="45"/>
        <v>0</v>
      </c>
      <c r="Y44" s="18" t="str">
        <f t="shared" si="46"/>
        <v/>
      </c>
      <c r="Z44" s="19">
        <f>IF(W44=1,MAX(0,MIN(Settings!$B$6,(IFERROR(VLOOKUP(U43,'Bucket Status'!$A$4:$B$75,2,FALSE()),0)-(SUMIF($U$5:$U43,U43,$AK$5:$AK43)+SUMIF($V$5:$V43,U43,$AL$5:$AL43)+SUMIF($Y$5:$Y43,U43,$AA$5:$AA43)+SUMIF($AC$5:$AC43,U43,$AE$5:$AE43))))),IF(AB43&gt;0,AB43,0))</f>
        <v>0</v>
      </c>
      <c r="AA44" s="19">
        <f t="shared" si="33"/>
        <v>0</v>
      </c>
      <c r="AB44" s="19">
        <f t="shared" si="34"/>
        <v>0</v>
      </c>
      <c r="AC44" s="18" t="str">
        <f t="shared" si="47"/>
        <v/>
      </c>
      <c r="AD44" s="19">
        <f>IF(X44=1,MAX(0,MIN(Settings!$B$6-Z44,(IFERROR(VLOOKUP(V43,'Bucket Status'!$A$4:$B$75,2,FALSE()),0)-(SUMIF($U$5:$U43,V43,$AK$5:$AK43)+SUMIF($V$5:$V43,V43,$AL$5:$AL43)+SUMIF($Y$5:$Y43,V43,$AA$5:$AA43)+SUMIF($AC$5:$AC43,V43,$AE$5:$AE43))))),IF(AF43&gt;0,AF43,0))</f>
        <v>0</v>
      </c>
      <c r="AE44" s="19">
        <f t="shared" si="35"/>
        <v>0</v>
      </c>
      <c r="AF44" s="19">
        <f t="shared" si="36"/>
        <v>0</v>
      </c>
      <c r="AG44" s="20">
        <f>IFERROR(IF(C44="Y",Settings!$B$4+Settings!$B$5,0),0)</f>
        <v>0</v>
      </c>
      <c r="AH44" s="21" t="str">
        <f>IFERROR(IF(U44="","",IFERROR(VLOOKUP(U44,'Bucket Status'!$A$4:$B$75,2,FALSE()),0)-(SUMIF($U$5:$U43,U44,$AK$5:$AK43)+SUMIF($V$5:$V43,U44,$AL$5:$AL43)+SUMIF($Y$5:$Y43,U44,$AA$5:$AA43)+SUMIF($AC$5:$AC43,U44,$AE$5:$AE43))),"")</f>
        <v/>
      </c>
      <c r="AI44" s="22" t="str">
        <f>IFERROR(IF(V44="","",IFERROR(VLOOKUP(V44,'Bucket Status'!$A$4:$B$75,2,FALSE()),0)-(SUMIF($U$5:$U43,V44,$AK$5:$AK43)+SUMIF($V$5:$V43,V44,$AL$5:$AL43)+SUMIF($Y$5:$Y43,V44,$AA$5:$AA43)+SUMIF($AC$5:$AC43,V44,$AE$5:$AE43))),"")</f>
        <v/>
      </c>
      <c r="AJ44" s="23" t="str">
        <f t="shared" si="37"/>
        <v/>
      </c>
      <c r="AK44" s="21" t="str">
        <f t="shared" si="38"/>
        <v/>
      </c>
      <c r="AL44" s="22" t="str">
        <f t="shared" si="39"/>
        <v/>
      </c>
    </row>
    <row r="45" spans="1:38" ht="18" customHeight="1" x14ac:dyDescent="0.3">
      <c r="A45" s="3"/>
      <c r="B45" s="50"/>
      <c r="C45" s="4"/>
      <c r="D45" s="5"/>
      <c r="E45" s="5"/>
      <c r="F45" s="6"/>
      <c r="G45" s="6"/>
      <c r="H45" s="7"/>
      <c r="I45" s="8" t="str">
        <f t="shared" si="24"/>
        <v/>
      </c>
      <c r="J45" s="9" t="str">
        <f t="shared" si="25"/>
        <v/>
      </c>
      <c r="K45" s="10" t="str">
        <f t="shared" si="26"/>
        <v/>
      </c>
      <c r="L45" s="11" t="str">
        <f t="shared" si="27"/>
        <v/>
      </c>
      <c r="M45" s="12" t="str">
        <f t="shared" si="28"/>
        <v/>
      </c>
      <c r="N45" s="13" t="str">
        <f t="shared" si="29"/>
        <v/>
      </c>
      <c r="O45" s="14" t="str">
        <f t="shared" si="30"/>
        <v/>
      </c>
      <c r="P45" s="15"/>
      <c r="Q45" s="16" t="str">
        <f t="shared" si="40"/>
        <v/>
      </c>
      <c r="R45" s="16" t="str">
        <f t="shared" si="41"/>
        <v/>
      </c>
      <c r="S45" s="17" t="str">
        <f t="shared" si="42"/>
        <v/>
      </c>
      <c r="T45" s="17" t="str">
        <f t="shared" si="43"/>
        <v/>
      </c>
      <c r="U45" s="16" t="str">
        <f t="shared" si="31"/>
        <v/>
      </c>
      <c r="V45" s="17" t="str">
        <f t="shared" si="32"/>
        <v/>
      </c>
      <c r="W45" s="18">
        <f t="shared" si="44"/>
        <v>0</v>
      </c>
      <c r="X45" s="18">
        <f t="shared" si="45"/>
        <v>0</v>
      </c>
      <c r="Y45" s="18" t="str">
        <f t="shared" si="46"/>
        <v/>
      </c>
      <c r="Z45" s="19">
        <f>IF(W45=1,MAX(0,MIN(Settings!$B$6,(IFERROR(VLOOKUP(U44,'Bucket Status'!$A$4:$B$75,2,FALSE()),0)-(SUMIF($U$5:$U44,U44,$AK$5:$AK44)+SUMIF($V$5:$V44,U44,$AL$5:$AL44)+SUMIF($Y$5:$Y44,U44,$AA$5:$AA44)+SUMIF($AC$5:$AC44,U44,$AE$5:$AE44))))),IF(AB44&gt;0,AB44,0))</f>
        <v>0</v>
      </c>
      <c r="AA45" s="19">
        <f t="shared" si="33"/>
        <v>0</v>
      </c>
      <c r="AB45" s="19">
        <f t="shared" si="34"/>
        <v>0</v>
      </c>
      <c r="AC45" s="18" t="str">
        <f t="shared" si="47"/>
        <v/>
      </c>
      <c r="AD45" s="19">
        <f>IF(X45=1,MAX(0,MIN(Settings!$B$6-Z45,(IFERROR(VLOOKUP(V44,'Bucket Status'!$A$4:$B$75,2,FALSE()),0)-(SUMIF($U$5:$U44,V44,$AK$5:$AK44)+SUMIF($V$5:$V44,V44,$AL$5:$AL44)+SUMIF($Y$5:$Y44,V44,$AA$5:$AA44)+SUMIF($AC$5:$AC44,V44,$AE$5:$AE44))))),IF(AF44&gt;0,AF44,0))</f>
        <v>0</v>
      </c>
      <c r="AE45" s="19">
        <f t="shared" si="35"/>
        <v>0</v>
      </c>
      <c r="AF45" s="19">
        <f t="shared" si="36"/>
        <v>0</v>
      </c>
      <c r="AG45" s="20">
        <f>IFERROR(IF(C45="Y",Settings!$B$4+Settings!$B$5,0),0)</f>
        <v>0</v>
      </c>
      <c r="AH45" s="21" t="str">
        <f>IFERROR(IF(U45="","",IFERROR(VLOOKUP(U45,'Bucket Status'!$A$4:$B$75,2,FALSE()),0)-(SUMIF($U$5:$U44,U45,$AK$5:$AK44)+SUMIF($V$5:$V44,U45,$AL$5:$AL44)+SUMIF($Y$5:$Y44,U45,$AA$5:$AA44)+SUMIF($AC$5:$AC44,U45,$AE$5:$AE44))),"")</f>
        <v/>
      </c>
      <c r="AI45" s="22" t="str">
        <f>IFERROR(IF(V45="","",IFERROR(VLOOKUP(V45,'Bucket Status'!$A$4:$B$75,2,FALSE()),0)-(SUMIF($U$5:$U44,V45,$AK$5:$AK44)+SUMIF($V$5:$V44,V45,$AL$5:$AL44)+SUMIF($Y$5:$Y44,V45,$AA$5:$AA44)+SUMIF($AC$5:$AC44,V45,$AE$5:$AE44))),"")</f>
        <v/>
      </c>
      <c r="AJ45" s="23" t="str">
        <f t="shared" si="37"/>
        <v/>
      </c>
      <c r="AK45" s="21" t="str">
        <f t="shared" si="38"/>
        <v/>
      </c>
      <c r="AL45" s="22" t="str">
        <f t="shared" si="39"/>
        <v/>
      </c>
    </row>
    <row r="46" spans="1:38" ht="18" customHeight="1" x14ac:dyDescent="0.3">
      <c r="A46" s="3"/>
      <c r="B46" s="50"/>
      <c r="C46" s="4"/>
      <c r="D46" s="5"/>
      <c r="E46" s="5"/>
      <c r="F46" s="6"/>
      <c r="G46" s="6"/>
      <c r="H46" s="7"/>
      <c r="I46" s="8" t="str">
        <f t="shared" si="24"/>
        <v/>
      </c>
      <c r="J46" s="9" t="str">
        <f t="shared" si="25"/>
        <v/>
      </c>
      <c r="K46" s="10" t="str">
        <f t="shared" si="26"/>
        <v/>
      </c>
      <c r="L46" s="11" t="str">
        <f t="shared" si="27"/>
        <v/>
      </c>
      <c r="M46" s="12" t="str">
        <f t="shared" si="28"/>
        <v/>
      </c>
      <c r="N46" s="13" t="str">
        <f t="shared" si="29"/>
        <v/>
      </c>
      <c r="O46" s="14" t="str">
        <f t="shared" si="30"/>
        <v/>
      </c>
      <c r="P46" s="15"/>
      <c r="Q46" s="16" t="str">
        <f t="shared" si="40"/>
        <v/>
      </c>
      <c r="R46" s="16" t="str">
        <f t="shared" si="41"/>
        <v/>
      </c>
      <c r="S46" s="17" t="str">
        <f t="shared" si="42"/>
        <v/>
      </c>
      <c r="T46" s="17" t="str">
        <f t="shared" si="43"/>
        <v/>
      </c>
      <c r="U46" s="16" t="str">
        <f t="shared" si="31"/>
        <v/>
      </c>
      <c r="V46" s="17" t="str">
        <f t="shared" si="32"/>
        <v/>
      </c>
      <c r="W46" s="18">
        <f t="shared" si="44"/>
        <v>0</v>
      </c>
      <c r="X46" s="18">
        <f t="shared" si="45"/>
        <v>0</v>
      </c>
      <c r="Y46" s="18" t="str">
        <f t="shared" si="46"/>
        <v/>
      </c>
      <c r="Z46" s="19">
        <f>IF(W46=1,MAX(0,MIN(Settings!$B$6,(IFERROR(VLOOKUP(U45,'Bucket Status'!$A$4:$B$75,2,FALSE()),0)-(SUMIF($U$5:$U45,U45,$AK$5:$AK45)+SUMIF($V$5:$V45,U45,$AL$5:$AL45)+SUMIF($Y$5:$Y45,U45,$AA$5:$AA45)+SUMIF($AC$5:$AC45,U45,$AE$5:$AE45))))),IF(AB45&gt;0,AB45,0))</f>
        <v>0</v>
      </c>
      <c r="AA46" s="19">
        <f t="shared" si="33"/>
        <v>0</v>
      </c>
      <c r="AB46" s="19">
        <f t="shared" si="34"/>
        <v>0</v>
      </c>
      <c r="AC46" s="18" t="str">
        <f t="shared" si="47"/>
        <v/>
      </c>
      <c r="AD46" s="19">
        <f>IF(X46=1,MAX(0,MIN(Settings!$B$6-Z46,(IFERROR(VLOOKUP(V45,'Bucket Status'!$A$4:$B$75,2,FALSE()),0)-(SUMIF($U$5:$U45,V45,$AK$5:$AK45)+SUMIF($V$5:$V45,V45,$AL$5:$AL45)+SUMIF($Y$5:$Y45,V45,$AA$5:$AA45)+SUMIF($AC$5:$AC45,V45,$AE$5:$AE45))))),IF(AF45&gt;0,AF45,0))</f>
        <v>0</v>
      </c>
      <c r="AE46" s="19">
        <f t="shared" si="35"/>
        <v>0</v>
      </c>
      <c r="AF46" s="19">
        <f t="shared" si="36"/>
        <v>0</v>
      </c>
      <c r="AG46" s="20">
        <f>IFERROR(IF(C46="Y",Settings!$B$4+Settings!$B$5,0),0)</f>
        <v>0</v>
      </c>
      <c r="AH46" s="21" t="str">
        <f>IFERROR(IF(U46="","",IFERROR(VLOOKUP(U46,'Bucket Status'!$A$4:$B$75,2,FALSE()),0)-(SUMIF($U$5:$U45,U46,$AK$5:$AK45)+SUMIF($V$5:$V45,U46,$AL$5:$AL45)+SUMIF($Y$5:$Y45,U46,$AA$5:$AA45)+SUMIF($AC$5:$AC45,U46,$AE$5:$AE45))),"")</f>
        <v/>
      </c>
      <c r="AI46" s="22" t="str">
        <f>IFERROR(IF(V46="","",IFERROR(VLOOKUP(V46,'Bucket Status'!$A$4:$B$75,2,FALSE()),0)-(SUMIF($U$5:$U45,V46,$AK$5:$AK45)+SUMIF($V$5:$V45,V46,$AL$5:$AL45)+SUMIF($Y$5:$Y45,V46,$AA$5:$AA45)+SUMIF($AC$5:$AC45,V46,$AE$5:$AE45))),"")</f>
        <v/>
      </c>
      <c r="AJ46" s="23" t="str">
        <f t="shared" si="37"/>
        <v/>
      </c>
      <c r="AK46" s="21" t="str">
        <f t="shared" si="38"/>
        <v/>
      </c>
      <c r="AL46" s="22" t="str">
        <f t="shared" si="39"/>
        <v/>
      </c>
    </row>
    <row r="47" spans="1:38" ht="18" customHeight="1" x14ac:dyDescent="0.3">
      <c r="A47" s="3"/>
      <c r="B47" s="50"/>
      <c r="C47" s="4"/>
      <c r="D47" s="5"/>
      <c r="E47" s="5"/>
      <c r="F47" s="6"/>
      <c r="G47" s="6"/>
      <c r="H47" s="7"/>
      <c r="I47" s="8" t="str">
        <f t="shared" si="24"/>
        <v/>
      </c>
      <c r="J47" s="9" t="str">
        <f t="shared" si="25"/>
        <v/>
      </c>
      <c r="K47" s="10" t="str">
        <f t="shared" si="26"/>
        <v/>
      </c>
      <c r="L47" s="11" t="str">
        <f t="shared" si="27"/>
        <v/>
      </c>
      <c r="M47" s="12" t="str">
        <f t="shared" si="28"/>
        <v/>
      </c>
      <c r="N47" s="13" t="str">
        <f t="shared" si="29"/>
        <v/>
      </c>
      <c r="O47" s="14" t="str">
        <f t="shared" si="30"/>
        <v/>
      </c>
      <c r="P47" s="15"/>
      <c r="Q47" s="16" t="str">
        <f t="shared" si="40"/>
        <v/>
      </c>
      <c r="R47" s="16" t="str">
        <f t="shared" si="41"/>
        <v/>
      </c>
      <c r="S47" s="17" t="str">
        <f t="shared" si="42"/>
        <v/>
      </c>
      <c r="T47" s="17" t="str">
        <f t="shared" si="43"/>
        <v/>
      </c>
      <c r="U47" s="16" t="str">
        <f t="shared" si="31"/>
        <v/>
      </c>
      <c r="V47" s="17" t="str">
        <f t="shared" si="32"/>
        <v/>
      </c>
      <c r="W47" s="18">
        <f t="shared" si="44"/>
        <v>0</v>
      </c>
      <c r="X47" s="18">
        <f t="shared" si="45"/>
        <v>0</v>
      </c>
      <c r="Y47" s="18" t="str">
        <f t="shared" si="46"/>
        <v/>
      </c>
      <c r="Z47" s="19">
        <f>IF(W47=1,MAX(0,MIN(Settings!$B$6,(IFERROR(VLOOKUP(U46,'Bucket Status'!$A$4:$B$75,2,FALSE()),0)-(SUMIF($U$5:$U46,U46,$AK$5:$AK46)+SUMIF($V$5:$V46,U46,$AL$5:$AL46)+SUMIF($Y$5:$Y46,U46,$AA$5:$AA46)+SUMIF($AC$5:$AC46,U46,$AE$5:$AE46))))),IF(AB46&gt;0,AB46,0))</f>
        <v>0</v>
      </c>
      <c r="AA47" s="19">
        <f t="shared" si="33"/>
        <v>0</v>
      </c>
      <c r="AB47" s="19">
        <f t="shared" si="34"/>
        <v>0</v>
      </c>
      <c r="AC47" s="18" t="str">
        <f t="shared" si="47"/>
        <v/>
      </c>
      <c r="AD47" s="19">
        <f>IF(X47=1,MAX(0,MIN(Settings!$B$6-Z47,(IFERROR(VLOOKUP(V46,'Bucket Status'!$A$4:$B$75,2,FALSE()),0)-(SUMIF($U$5:$U46,V46,$AK$5:$AK46)+SUMIF($V$5:$V46,V46,$AL$5:$AL46)+SUMIF($Y$5:$Y46,V46,$AA$5:$AA46)+SUMIF($AC$5:$AC46,V46,$AE$5:$AE46))))),IF(AF46&gt;0,AF46,0))</f>
        <v>0</v>
      </c>
      <c r="AE47" s="19">
        <f t="shared" si="35"/>
        <v>0</v>
      </c>
      <c r="AF47" s="19">
        <f t="shared" si="36"/>
        <v>0</v>
      </c>
      <c r="AG47" s="20">
        <f>IFERROR(IF(C47="Y",Settings!$B$4+Settings!$B$5,0),0)</f>
        <v>0</v>
      </c>
      <c r="AH47" s="21" t="str">
        <f>IFERROR(IF(U47="","",IFERROR(VLOOKUP(U47,'Bucket Status'!$A$4:$B$75,2,FALSE()),0)-(SUMIF($U$5:$U46,U47,$AK$5:$AK46)+SUMIF($V$5:$V46,U47,$AL$5:$AL46)+SUMIF($Y$5:$Y46,U47,$AA$5:$AA46)+SUMIF($AC$5:$AC46,U47,$AE$5:$AE46))),"")</f>
        <v/>
      </c>
      <c r="AI47" s="22" t="str">
        <f>IFERROR(IF(V47="","",IFERROR(VLOOKUP(V47,'Bucket Status'!$A$4:$B$75,2,FALSE()),0)-(SUMIF($U$5:$U46,V47,$AK$5:$AK46)+SUMIF($V$5:$V46,V47,$AL$5:$AL46)+SUMIF($Y$5:$Y46,V47,$AA$5:$AA46)+SUMIF($AC$5:$AC46,V47,$AE$5:$AE46))),"")</f>
        <v/>
      </c>
      <c r="AJ47" s="23" t="str">
        <f t="shared" si="37"/>
        <v/>
      </c>
      <c r="AK47" s="21" t="str">
        <f t="shared" si="38"/>
        <v/>
      </c>
      <c r="AL47" s="22" t="str">
        <f t="shared" si="39"/>
        <v/>
      </c>
    </row>
    <row r="48" spans="1:38" ht="18" customHeight="1" x14ac:dyDescent="0.3">
      <c r="A48" s="3"/>
      <c r="B48" s="50"/>
      <c r="C48" s="4"/>
      <c r="D48" s="5"/>
      <c r="E48" s="5"/>
      <c r="F48" s="6"/>
      <c r="G48" s="6"/>
      <c r="H48" s="7"/>
      <c r="I48" s="8" t="str">
        <f t="shared" si="24"/>
        <v/>
      </c>
      <c r="J48" s="9" t="str">
        <f t="shared" si="25"/>
        <v/>
      </c>
      <c r="K48" s="10" t="str">
        <f t="shared" si="26"/>
        <v/>
      </c>
      <c r="L48" s="11" t="str">
        <f t="shared" si="27"/>
        <v/>
      </c>
      <c r="M48" s="12" t="str">
        <f t="shared" si="28"/>
        <v/>
      </c>
      <c r="N48" s="13" t="str">
        <f t="shared" si="29"/>
        <v/>
      </c>
      <c r="O48" s="14" t="str">
        <f t="shared" si="30"/>
        <v/>
      </c>
      <c r="P48" s="15"/>
      <c r="Q48" s="16" t="str">
        <f t="shared" si="40"/>
        <v/>
      </c>
      <c r="R48" s="16" t="str">
        <f t="shared" si="41"/>
        <v/>
      </c>
      <c r="S48" s="17" t="str">
        <f t="shared" si="42"/>
        <v/>
      </c>
      <c r="T48" s="17" t="str">
        <f t="shared" si="43"/>
        <v/>
      </c>
      <c r="U48" s="16" t="str">
        <f t="shared" si="31"/>
        <v/>
      </c>
      <c r="V48" s="17" t="str">
        <f t="shared" si="32"/>
        <v/>
      </c>
      <c r="W48" s="18">
        <f t="shared" si="44"/>
        <v>0</v>
      </c>
      <c r="X48" s="18">
        <f t="shared" si="45"/>
        <v>0</v>
      </c>
      <c r="Y48" s="18" t="str">
        <f t="shared" si="46"/>
        <v/>
      </c>
      <c r="Z48" s="19">
        <f>IF(W48=1,MAX(0,MIN(Settings!$B$6,(IFERROR(VLOOKUP(U47,'Bucket Status'!$A$4:$B$75,2,FALSE()),0)-(SUMIF($U$5:$U47,U47,$AK$5:$AK47)+SUMIF($V$5:$V47,U47,$AL$5:$AL47)+SUMIF($Y$5:$Y47,U47,$AA$5:$AA47)+SUMIF($AC$5:$AC47,U47,$AE$5:$AE47))))),IF(AB47&gt;0,AB47,0))</f>
        <v>0</v>
      </c>
      <c r="AA48" s="19">
        <f t="shared" si="33"/>
        <v>0</v>
      </c>
      <c r="AB48" s="19">
        <f t="shared" si="34"/>
        <v>0</v>
      </c>
      <c r="AC48" s="18" t="str">
        <f t="shared" si="47"/>
        <v/>
      </c>
      <c r="AD48" s="19">
        <f>IF(X48=1,MAX(0,MIN(Settings!$B$6-Z48,(IFERROR(VLOOKUP(V47,'Bucket Status'!$A$4:$B$75,2,FALSE()),0)-(SUMIF($U$5:$U47,V47,$AK$5:$AK47)+SUMIF($V$5:$V47,V47,$AL$5:$AL47)+SUMIF($Y$5:$Y47,V47,$AA$5:$AA47)+SUMIF($AC$5:$AC47,V47,$AE$5:$AE47))))),IF(AF47&gt;0,AF47,0))</f>
        <v>0</v>
      </c>
      <c r="AE48" s="19">
        <f t="shared" si="35"/>
        <v>0</v>
      </c>
      <c r="AF48" s="19">
        <f t="shared" si="36"/>
        <v>0</v>
      </c>
      <c r="AG48" s="20">
        <f>IFERROR(IF(C48="Y",Settings!$B$4+Settings!$B$5,0),0)</f>
        <v>0</v>
      </c>
      <c r="AH48" s="21" t="str">
        <f>IFERROR(IF(U48="","",IFERROR(VLOOKUP(U48,'Bucket Status'!$A$4:$B$75,2,FALSE()),0)-(SUMIF($U$5:$U47,U48,$AK$5:$AK47)+SUMIF($V$5:$V47,U48,$AL$5:$AL47)+SUMIF($Y$5:$Y47,U48,$AA$5:$AA47)+SUMIF($AC$5:$AC47,U48,$AE$5:$AE47))),"")</f>
        <v/>
      </c>
      <c r="AI48" s="22" t="str">
        <f>IFERROR(IF(V48="","",IFERROR(VLOOKUP(V48,'Bucket Status'!$A$4:$B$75,2,FALSE()),0)-(SUMIF($U$5:$U47,V48,$AK$5:$AK47)+SUMIF($V$5:$V47,V48,$AL$5:$AL47)+SUMIF($Y$5:$Y47,V48,$AA$5:$AA47)+SUMIF($AC$5:$AC47,V48,$AE$5:$AE47))),"")</f>
        <v/>
      </c>
      <c r="AJ48" s="23" t="str">
        <f t="shared" si="37"/>
        <v/>
      </c>
      <c r="AK48" s="21" t="str">
        <f t="shared" si="38"/>
        <v/>
      </c>
      <c r="AL48" s="22" t="str">
        <f t="shared" si="39"/>
        <v/>
      </c>
    </row>
    <row r="49" spans="1:38" ht="18" customHeight="1" x14ac:dyDescent="0.3">
      <c r="A49" s="3"/>
      <c r="B49" s="50"/>
      <c r="C49" s="4"/>
      <c r="D49" s="5"/>
      <c r="E49" s="5"/>
      <c r="F49" s="6"/>
      <c r="G49" s="6"/>
      <c r="H49" s="7"/>
      <c r="I49" s="8" t="str">
        <f t="shared" si="24"/>
        <v/>
      </c>
      <c r="J49" s="9" t="str">
        <f t="shared" si="25"/>
        <v/>
      </c>
      <c r="K49" s="10" t="str">
        <f t="shared" si="26"/>
        <v/>
      </c>
      <c r="L49" s="11" t="str">
        <f t="shared" si="27"/>
        <v/>
      </c>
      <c r="M49" s="12" t="str">
        <f t="shared" si="28"/>
        <v/>
      </c>
      <c r="N49" s="13" t="str">
        <f t="shared" si="29"/>
        <v/>
      </c>
      <c r="O49" s="14" t="str">
        <f t="shared" si="30"/>
        <v/>
      </c>
      <c r="P49" s="15"/>
      <c r="Q49" s="16" t="str">
        <f t="shared" si="40"/>
        <v/>
      </c>
      <c r="R49" s="16" t="str">
        <f t="shared" si="41"/>
        <v/>
      </c>
      <c r="S49" s="17" t="str">
        <f t="shared" si="42"/>
        <v/>
      </c>
      <c r="T49" s="17" t="str">
        <f t="shared" si="43"/>
        <v/>
      </c>
      <c r="U49" s="16" t="str">
        <f t="shared" si="31"/>
        <v/>
      </c>
      <c r="V49" s="17" t="str">
        <f t="shared" si="32"/>
        <v/>
      </c>
      <c r="W49" s="18">
        <f t="shared" si="44"/>
        <v>0</v>
      </c>
      <c r="X49" s="18">
        <f t="shared" si="45"/>
        <v>0</v>
      </c>
      <c r="Y49" s="18" t="str">
        <f t="shared" si="46"/>
        <v/>
      </c>
      <c r="Z49" s="19">
        <f>IF(W49=1,MAX(0,MIN(Settings!$B$6,(IFERROR(VLOOKUP(U48,'Bucket Status'!$A$4:$B$75,2,FALSE()),0)-(SUMIF($U$5:$U48,U48,$AK$5:$AK48)+SUMIF($V$5:$V48,U48,$AL$5:$AL48)+SUMIF($Y$5:$Y48,U48,$AA$5:$AA48)+SUMIF($AC$5:$AC48,U48,$AE$5:$AE48))))),IF(AB48&gt;0,AB48,0))</f>
        <v>0</v>
      </c>
      <c r="AA49" s="19">
        <f t="shared" si="33"/>
        <v>0</v>
      </c>
      <c r="AB49" s="19">
        <f t="shared" si="34"/>
        <v>0</v>
      </c>
      <c r="AC49" s="18" t="str">
        <f t="shared" si="47"/>
        <v/>
      </c>
      <c r="AD49" s="19">
        <f>IF(X49=1,MAX(0,MIN(Settings!$B$6-Z49,(IFERROR(VLOOKUP(V48,'Bucket Status'!$A$4:$B$75,2,FALSE()),0)-(SUMIF($U$5:$U48,V48,$AK$5:$AK48)+SUMIF($V$5:$V48,V48,$AL$5:$AL48)+SUMIF($Y$5:$Y48,V48,$AA$5:$AA48)+SUMIF($AC$5:$AC48,V48,$AE$5:$AE48))))),IF(AF48&gt;0,AF48,0))</f>
        <v>0</v>
      </c>
      <c r="AE49" s="19">
        <f t="shared" si="35"/>
        <v>0</v>
      </c>
      <c r="AF49" s="19">
        <f t="shared" si="36"/>
        <v>0</v>
      </c>
      <c r="AG49" s="20">
        <f>IFERROR(IF(C49="Y",Settings!$B$4+Settings!$B$5,0),0)</f>
        <v>0</v>
      </c>
      <c r="AH49" s="21" t="str">
        <f>IFERROR(IF(U49="","",IFERROR(VLOOKUP(U49,'Bucket Status'!$A$4:$B$75,2,FALSE()),0)-(SUMIF($U$5:$U48,U49,$AK$5:$AK48)+SUMIF($V$5:$V48,U49,$AL$5:$AL48)+SUMIF($Y$5:$Y48,U49,$AA$5:$AA48)+SUMIF($AC$5:$AC48,U49,$AE$5:$AE48))),"")</f>
        <v/>
      </c>
      <c r="AI49" s="22" t="str">
        <f>IFERROR(IF(V49="","",IFERROR(VLOOKUP(V49,'Bucket Status'!$A$4:$B$75,2,FALSE()),0)-(SUMIF($U$5:$U48,V49,$AK$5:$AK48)+SUMIF($V$5:$V48,V49,$AL$5:$AL48)+SUMIF($Y$5:$Y48,V49,$AA$5:$AA48)+SUMIF($AC$5:$AC48,V49,$AE$5:$AE48))),"")</f>
        <v/>
      </c>
      <c r="AJ49" s="23" t="str">
        <f t="shared" si="37"/>
        <v/>
      </c>
      <c r="AK49" s="21" t="str">
        <f t="shared" si="38"/>
        <v/>
      </c>
      <c r="AL49" s="22" t="str">
        <f t="shared" si="39"/>
        <v/>
      </c>
    </row>
    <row r="50" spans="1:38" ht="18" customHeight="1" x14ac:dyDescent="0.3">
      <c r="A50" s="3"/>
      <c r="B50" s="50"/>
      <c r="C50" s="4"/>
      <c r="D50" s="5"/>
      <c r="E50" s="5"/>
      <c r="F50" s="6"/>
      <c r="G50" s="6"/>
      <c r="H50" s="7"/>
      <c r="I50" s="8" t="str">
        <f t="shared" si="24"/>
        <v/>
      </c>
      <c r="J50" s="9" t="str">
        <f t="shared" si="25"/>
        <v/>
      </c>
      <c r="K50" s="10" t="str">
        <f t="shared" si="26"/>
        <v/>
      </c>
      <c r="L50" s="11" t="str">
        <f t="shared" si="27"/>
        <v/>
      </c>
      <c r="M50" s="12" t="str">
        <f t="shared" si="28"/>
        <v/>
      </c>
      <c r="N50" s="13" t="str">
        <f t="shared" si="29"/>
        <v/>
      </c>
      <c r="O50" s="14" t="str">
        <f t="shared" si="30"/>
        <v/>
      </c>
      <c r="P50" s="15"/>
      <c r="Q50" s="16" t="str">
        <f t="shared" si="40"/>
        <v/>
      </c>
      <c r="R50" s="16" t="str">
        <f t="shared" si="41"/>
        <v/>
      </c>
      <c r="S50" s="17" t="str">
        <f t="shared" si="42"/>
        <v/>
      </c>
      <c r="T50" s="17" t="str">
        <f t="shared" si="43"/>
        <v/>
      </c>
      <c r="U50" s="16" t="str">
        <f t="shared" si="31"/>
        <v/>
      </c>
      <c r="V50" s="17" t="str">
        <f t="shared" si="32"/>
        <v/>
      </c>
      <c r="W50" s="18">
        <f t="shared" si="44"/>
        <v>0</v>
      </c>
      <c r="X50" s="18">
        <f t="shared" si="45"/>
        <v>0</v>
      </c>
      <c r="Y50" s="18" t="str">
        <f t="shared" si="46"/>
        <v/>
      </c>
      <c r="Z50" s="19">
        <f>IF(W50=1,MAX(0,MIN(Settings!$B$6,(IFERROR(VLOOKUP(U49,'Bucket Status'!$A$4:$B$75,2,FALSE()),0)-(SUMIF($U$5:$U49,U49,$AK$5:$AK49)+SUMIF($V$5:$V49,U49,$AL$5:$AL49)+SUMIF($Y$5:$Y49,U49,$AA$5:$AA49)+SUMIF($AC$5:$AC49,U49,$AE$5:$AE49))))),IF(AB49&gt;0,AB49,0))</f>
        <v>0</v>
      </c>
      <c r="AA50" s="19">
        <f t="shared" si="33"/>
        <v>0</v>
      </c>
      <c r="AB50" s="19">
        <f t="shared" si="34"/>
        <v>0</v>
      </c>
      <c r="AC50" s="18" t="str">
        <f t="shared" si="47"/>
        <v/>
      </c>
      <c r="AD50" s="19">
        <f>IF(X50=1,MAX(0,MIN(Settings!$B$6-Z50,(IFERROR(VLOOKUP(V49,'Bucket Status'!$A$4:$B$75,2,FALSE()),0)-(SUMIF($U$5:$U49,V49,$AK$5:$AK49)+SUMIF($V$5:$V49,V49,$AL$5:$AL49)+SUMIF($Y$5:$Y49,V49,$AA$5:$AA49)+SUMIF($AC$5:$AC49,V49,$AE$5:$AE49))))),IF(AF49&gt;0,AF49,0))</f>
        <v>0</v>
      </c>
      <c r="AE50" s="19">
        <f t="shared" si="35"/>
        <v>0</v>
      </c>
      <c r="AF50" s="19">
        <f t="shared" si="36"/>
        <v>0</v>
      </c>
      <c r="AG50" s="20">
        <f>IFERROR(IF(C50="Y",Settings!$B$4+Settings!$B$5,0),0)</f>
        <v>0</v>
      </c>
      <c r="AH50" s="21" t="str">
        <f>IFERROR(IF(U50="","",IFERROR(VLOOKUP(U50,'Bucket Status'!$A$4:$B$75,2,FALSE()),0)-(SUMIF($U$5:$U49,U50,$AK$5:$AK49)+SUMIF($V$5:$V49,U50,$AL$5:$AL49)+SUMIF($Y$5:$Y49,U50,$AA$5:$AA49)+SUMIF($AC$5:$AC49,U50,$AE$5:$AE49))),"")</f>
        <v/>
      </c>
      <c r="AI50" s="22" t="str">
        <f>IFERROR(IF(V50="","",IFERROR(VLOOKUP(V50,'Bucket Status'!$A$4:$B$75,2,FALSE()),0)-(SUMIF($U$5:$U49,V50,$AK$5:$AK49)+SUMIF($V$5:$V49,V50,$AL$5:$AL49)+SUMIF($Y$5:$Y49,V50,$AA$5:$AA49)+SUMIF($AC$5:$AC49,V50,$AE$5:$AE49))),"")</f>
        <v/>
      </c>
      <c r="AJ50" s="23" t="str">
        <f t="shared" si="37"/>
        <v/>
      </c>
      <c r="AK50" s="21" t="str">
        <f t="shared" si="38"/>
        <v/>
      </c>
      <c r="AL50" s="22" t="str">
        <f t="shared" si="39"/>
        <v/>
      </c>
    </row>
    <row r="51" spans="1:38" ht="18" customHeight="1" x14ac:dyDescent="0.3">
      <c r="A51" s="3"/>
      <c r="B51" s="50"/>
      <c r="C51" s="4"/>
      <c r="D51" s="5"/>
      <c r="E51" s="5"/>
      <c r="F51" s="6"/>
      <c r="G51" s="6"/>
      <c r="H51" s="7"/>
      <c r="I51" s="8" t="str">
        <f t="shared" si="24"/>
        <v/>
      </c>
      <c r="J51" s="9" t="str">
        <f t="shared" si="25"/>
        <v/>
      </c>
      <c r="K51" s="10" t="str">
        <f t="shared" si="26"/>
        <v/>
      </c>
      <c r="L51" s="11" t="str">
        <f t="shared" si="27"/>
        <v/>
      </c>
      <c r="M51" s="12" t="str">
        <f t="shared" si="28"/>
        <v/>
      </c>
      <c r="N51" s="13" t="str">
        <f t="shared" si="29"/>
        <v/>
      </c>
      <c r="O51" s="14" t="str">
        <f t="shared" si="30"/>
        <v/>
      </c>
      <c r="P51" s="15"/>
      <c r="Q51" s="16" t="str">
        <f t="shared" si="40"/>
        <v/>
      </c>
      <c r="R51" s="16" t="str">
        <f t="shared" si="41"/>
        <v/>
      </c>
      <c r="S51" s="17" t="str">
        <f t="shared" si="42"/>
        <v/>
      </c>
      <c r="T51" s="17" t="str">
        <f t="shared" si="43"/>
        <v/>
      </c>
      <c r="U51" s="16" t="str">
        <f t="shared" si="31"/>
        <v/>
      </c>
      <c r="V51" s="17" t="str">
        <f t="shared" si="32"/>
        <v/>
      </c>
      <c r="W51" s="18">
        <f t="shared" si="44"/>
        <v>0</v>
      </c>
      <c r="X51" s="18">
        <f t="shared" si="45"/>
        <v>0</v>
      </c>
      <c r="Y51" s="18" t="str">
        <f t="shared" si="46"/>
        <v/>
      </c>
      <c r="Z51" s="19">
        <f>IF(W51=1,MAX(0,MIN(Settings!$B$6,(IFERROR(VLOOKUP(U50,'Bucket Status'!$A$4:$B$75,2,FALSE()),0)-(SUMIF($U$5:$U50,U50,$AK$5:$AK50)+SUMIF($V$5:$V50,U50,$AL$5:$AL50)+SUMIF($Y$5:$Y50,U50,$AA$5:$AA50)+SUMIF($AC$5:$AC50,U50,$AE$5:$AE50))))),IF(AB50&gt;0,AB50,0))</f>
        <v>0</v>
      </c>
      <c r="AA51" s="19">
        <f t="shared" si="33"/>
        <v>0</v>
      </c>
      <c r="AB51" s="19">
        <f t="shared" si="34"/>
        <v>0</v>
      </c>
      <c r="AC51" s="18" t="str">
        <f t="shared" si="47"/>
        <v/>
      </c>
      <c r="AD51" s="19">
        <f>IF(X51=1,MAX(0,MIN(Settings!$B$6-Z51,(IFERROR(VLOOKUP(V50,'Bucket Status'!$A$4:$B$75,2,FALSE()),0)-(SUMIF($U$5:$U50,V50,$AK$5:$AK50)+SUMIF($V$5:$V50,V50,$AL$5:$AL50)+SUMIF($Y$5:$Y50,V50,$AA$5:$AA50)+SUMIF($AC$5:$AC50,V50,$AE$5:$AE50))))),IF(AF50&gt;0,AF50,0))</f>
        <v>0</v>
      </c>
      <c r="AE51" s="19">
        <f t="shared" si="35"/>
        <v>0</v>
      </c>
      <c r="AF51" s="19">
        <f t="shared" si="36"/>
        <v>0</v>
      </c>
      <c r="AG51" s="20">
        <f>IFERROR(IF(C51="Y",Settings!$B$4+Settings!$B$5,0),0)</f>
        <v>0</v>
      </c>
      <c r="AH51" s="21" t="str">
        <f>IFERROR(IF(U51="","",IFERROR(VLOOKUP(U51,'Bucket Status'!$A$4:$B$75,2,FALSE()),0)-(SUMIF($U$5:$U50,U51,$AK$5:$AK50)+SUMIF($V$5:$V50,U51,$AL$5:$AL50)+SUMIF($Y$5:$Y50,U51,$AA$5:$AA50)+SUMIF($AC$5:$AC50,U51,$AE$5:$AE50))),"")</f>
        <v/>
      </c>
      <c r="AI51" s="22" t="str">
        <f>IFERROR(IF(V51="","",IFERROR(VLOOKUP(V51,'Bucket Status'!$A$4:$B$75,2,FALSE()),0)-(SUMIF($U$5:$U50,V51,$AK$5:$AK50)+SUMIF($V$5:$V50,V51,$AL$5:$AL50)+SUMIF($Y$5:$Y50,V51,$AA$5:$AA50)+SUMIF($AC$5:$AC50,V51,$AE$5:$AE50))),"")</f>
        <v/>
      </c>
      <c r="AJ51" s="23" t="str">
        <f t="shared" si="37"/>
        <v/>
      </c>
      <c r="AK51" s="21" t="str">
        <f t="shared" si="38"/>
        <v/>
      </c>
      <c r="AL51" s="22" t="str">
        <f t="shared" si="39"/>
        <v/>
      </c>
    </row>
    <row r="52" spans="1:38" ht="18" customHeight="1" x14ac:dyDescent="0.3">
      <c r="A52" s="3"/>
      <c r="B52" s="50"/>
      <c r="C52" s="4"/>
      <c r="D52" s="5"/>
      <c r="E52" s="5"/>
      <c r="F52" s="6"/>
      <c r="G52" s="6"/>
      <c r="H52" s="7"/>
      <c r="I52" s="8" t="str">
        <f t="shared" si="24"/>
        <v/>
      </c>
      <c r="J52" s="9" t="str">
        <f t="shared" si="25"/>
        <v/>
      </c>
      <c r="K52" s="10" t="str">
        <f t="shared" si="26"/>
        <v/>
      </c>
      <c r="L52" s="11" t="str">
        <f t="shared" si="27"/>
        <v/>
      </c>
      <c r="M52" s="12" t="str">
        <f t="shared" si="28"/>
        <v/>
      </c>
      <c r="N52" s="13" t="str">
        <f t="shared" si="29"/>
        <v/>
      </c>
      <c r="O52" s="14" t="str">
        <f t="shared" si="30"/>
        <v/>
      </c>
      <c r="P52" s="15"/>
      <c r="Q52" s="16" t="str">
        <f t="shared" si="40"/>
        <v/>
      </c>
      <c r="R52" s="16" t="str">
        <f t="shared" si="41"/>
        <v/>
      </c>
      <c r="S52" s="17" t="str">
        <f t="shared" si="42"/>
        <v/>
      </c>
      <c r="T52" s="17" t="str">
        <f t="shared" si="43"/>
        <v/>
      </c>
      <c r="U52" s="16" t="str">
        <f t="shared" si="31"/>
        <v/>
      </c>
      <c r="V52" s="17" t="str">
        <f t="shared" si="32"/>
        <v/>
      </c>
      <c r="W52" s="18">
        <f t="shared" si="44"/>
        <v>0</v>
      </c>
      <c r="X52" s="18">
        <f t="shared" si="45"/>
        <v>0</v>
      </c>
      <c r="Y52" s="18" t="str">
        <f t="shared" si="46"/>
        <v/>
      </c>
      <c r="Z52" s="19">
        <f>IF(W52=1,MAX(0,MIN(Settings!$B$6,(IFERROR(VLOOKUP(U51,'Bucket Status'!$A$4:$B$75,2,FALSE()),0)-(SUMIF($U$5:$U51,U51,$AK$5:$AK51)+SUMIF($V$5:$V51,U51,$AL$5:$AL51)+SUMIF($Y$5:$Y51,U51,$AA$5:$AA51)+SUMIF($AC$5:$AC51,U51,$AE$5:$AE51))))),IF(AB51&gt;0,AB51,0))</f>
        <v>0</v>
      </c>
      <c r="AA52" s="19">
        <f t="shared" si="33"/>
        <v>0</v>
      </c>
      <c r="AB52" s="19">
        <f t="shared" si="34"/>
        <v>0</v>
      </c>
      <c r="AC52" s="18" t="str">
        <f t="shared" si="47"/>
        <v/>
      </c>
      <c r="AD52" s="19">
        <f>IF(X52=1,MAX(0,MIN(Settings!$B$6-Z52,(IFERROR(VLOOKUP(V51,'Bucket Status'!$A$4:$B$75,2,FALSE()),0)-(SUMIF($U$5:$U51,V51,$AK$5:$AK51)+SUMIF($V$5:$V51,V51,$AL$5:$AL51)+SUMIF($Y$5:$Y51,V51,$AA$5:$AA51)+SUMIF($AC$5:$AC51,V51,$AE$5:$AE51))))),IF(AF51&gt;0,AF51,0))</f>
        <v>0</v>
      </c>
      <c r="AE52" s="19">
        <f t="shared" si="35"/>
        <v>0</v>
      </c>
      <c r="AF52" s="19">
        <f t="shared" si="36"/>
        <v>0</v>
      </c>
      <c r="AG52" s="20">
        <f>IFERROR(IF(C52="Y",Settings!$B$4+Settings!$B$5,0),0)</f>
        <v>0</v>
      </c>
      <c r="AH52" s="21" t="str">
        <f>IFERROR(IF(U52="","",IFERROR(VLOOKUP(U52,'Bucket Status'!$A$4:$B$75,2,FALSE()),0)-(SUMIF($U$5:$U51,U52,$AK$5:$AK51)+SUMIF($V$5:$V51,U52,$AL$5:$AL51)+SUMIF($Y$5:$Y51,U52,$AA$5:$AA51)+SUMIF($AC$5:$AC51,U52,$AE$5:$AE51))),"")</f>
        <v/>
      </c>
      <c r="AI52" s="22" t="str">
        <f>IFERROR(IF(V52="","",IFERROR(VLOOKUP(V52,'Bucket Status'!$A$4:$B$75,2,FALSE()),0)-(SUMIF($U$5:$U51,V52,$AK$5:$AK51)+SUMIF($V$5:$V51,V52,$AL$5:$AL51)+SUMIF($Y$5:$Y51,V52,$AA$5:$AA51)+SUMIF($AC$5:$AC51,V52,$AE$5:$AE51))),"")</f>
        <v/>
      </c>
      <c r="AJ52" s="23" t="str">
        <f t="shared" si="37"/>
        <v/>
      </c>
      <c r="AK52" s="21" t="str">
        <f t="shared" si="38"/>
        <v/>
      </c>
      <c r="AL52" s="22" t="str">
        <f t="shared" si="39"/>
        <v/>
      </c>
    </row>
    <row r="53" spans="1:38" ht="18" customHeight="1" x14ac:dyDescent="0.3">
      <c r="A53" s="3"/>
      <c r="B53" s="50"/>
      <c r="C53" s="4"/>
      <c r="D53" s="5"/>
      <c r="E53" s="5"/>
      <c r="F53" s="6"/>
      <c r="G53" s="6"/>
      <c r="H53" s="7"/>
      <c r="I53" s="8" t="str">
        <f t="shared" si="24"/>
        <v/>
      </c>
      <c r="J53" s="9" t="str">
        <f t="shared" si="25"/>
        <v/>
      </c>
      <c r="K53" s="10" t="str">
        <f t="shared" si="26"/>
        <v/>
      </c>
      <c r="L53" s="11" t="str">
        <f t="shared" si="27"/>
        <v/>
      </c>
      <c r="M53" s="12" t="str">
        <f t="shared" si="28"/>
        <v/>
      </c>
      <c r="N53" s="13" t="str">
        <f t="shared" si="29"/>
        <v/>
      </c>
      <c r="O53" s="14" t="str">
        <f t="shared" si="30"/>
        <v/>
      </c>
      <c r="P53" s="15"/>
      <c r="Q53" s="16" t="str">
        <f t="shared" si="40"/>
        <v/>
      </c>
      <c r="R53" s="16" t="str">
        <f t="shared" si="41"/>
        <v/>
      </c>
      <c r="S53" s="17" t="str">
        <f t="shared" si="42"/>
        <v/>
      </c>
      <c r="T53" s="17" t="str">
        <f t="shared" si="43"/>
        <v/>
      </c>
      <c r="U53" s="16" t="str">
        <f t="shared" si="31"/>
        <v/>
      </c>
      <c r="V53" s="17" t="str">
        <f t="shared" si="32"/>
        <v/>
      </c>
      <c r="W53" s="18">
        <f t="shared" si="44"/>
        <v>0</v>
      </c>
      <c r="X53" s="18">
        <f t="shared" si="45"/>
        <v>0</v>
      </c>
      <c r="Y53" s="18" t="str">
        <f t="shared" si="46"/>
        <v/>
      </c>
      <c r="Z53" s="19">
        <f>IF(W53=1,MAX(0,MIN(Settings!$B$6,(IFERROR(VLOOKUP(U52,'Bucket Status'!$A$4:$B$75,2,FALSE()),0)-(SUMIF($U$5:$U52,U52,$AK$5:$AK52)+SUMIF($V$5:$V52,U52,$AL$5:$AL52)+SUMIF($Y$5:$Y52,U52,$AA$5:$AA52)+SUMIF($AC$5:$AC52,U52,$AE$5:$AE52))))),IF(AB52&gt;0,AB52,0))</f>
        <v>0</v>
      </c>
      <c r="AA53" s="19">
        <f t="shared" si="33"/>
        <v>0</v>
      </c>
      <c r="AB53" s="19">
        <f t="shared" si="34"/>
        <v>0</v>
      </c>
      <c r="AC53" s="18" t="str">
        <f t="shared" si="47"/>
        <v/>
      </c>
      <c r="AD53" s="19">
        <f>IF(X53=1,MAX(0,MIN(Settings!$B$6-Z53,(IFERROR(VLOOKUP(V52,'Bucket Status'!$A$4:$B$75,2,FALSE()),0)-(SUMIF($U$5:$U52,V52,$AK$5:$AK52)+SUMIF($V$5:$V52,V52,$AL$5:$AL52)+SUMIF($Y$5:$Y52,V52,$AA$5:$AA52)+SUMIF($AC$5:$AC52,V52,$AE$5:$AE52))))),IF(AF52&gt;0,AF52,0))</f>
        <v>0</v>
      </c>
      <c r="AE53" s="19">
        <f t="shared" si="35"/>
        <v>0</v>
      </c>
      <c r="AF53" s="19">
        <f t="shared" si="36"/>
        <v>0</v>
      </c>
      <c r="AG53" s="20">
        <f>IFERROR(IF(C53="Y",Settings!$B$4+Settings!$B$5,0),0)</f>
        <v>0</v>
      </c>
      <c r="AH53" s="21" t="str">
        <f>IFERROR(IF(U53="","",IFERROR(VLOOKUP(U53,'Bucket Status'!$A$4:$B$75,2,FALSE()),0)-(SUMIF($U$5:$U52,U53,$AK$5:$AK52)+SUMIF($V$5:$V52,U53,$AL$5:$AL52)+SUMIF($Y$5:$Y52,U53,$AA$5:$AA52)+SUMIF($AC$5:$AC52,U53,$AE$5:$AE52))),"")</f>
        <v/>
      </c>
      <c r="AI53" s="22" t="str">
        <f>IFERROR(IF(V53="","",IFERROR(VLOOKUP(V53,'Bucket Status'!$A$4:$B$75,2,FALSE()),0)-(SUMIF($U$5:$U52,V53,$AK$5:$AK52)+SUMIF($V$5:$V52,V53,$AL$5:$AL52)+SUMIF($Y$5:$Y52,V53,$AA$5:$AA52)+SUMIF($AC$5:$AC52,V53,$AE$5:$AE52))),"")</f>
        <v/>
      </c>
      <c r="AJ53" s="23" t="str">
        <f t="shared" si="37"/>
        <v/>
      </c>
      <c r="AK53" s="21" t="str">
        <f t="shared" si="38"/>
        <v/>
      </c>
      <c r="AL53" s="22" t="str">
        <f t="shared" si="39"/>
        <v/>
      </c>
    </row>
    <row r="54" spans="1:38" ht="18" customHeight="1" x14ac:dyDescent="0.3">
      <c r="A54" s="3"/>
      <c r="B54" s="50"/>
      <c r="C54" s="4"/>
      <c r="D54" s="5"/>
      <c r="E54" s="5"/>
      <c r="F54" s="6"/>
      <c r="G54" s="6"/>
      <c r="H54" s="7"/>
      <c r="I54" s="8" t="str">
        <f t="shared" si="24"/>
        <v/>
      </c>
      <c r="J54" s="9" t="str">
        <f t="shared" si="25"/>
        <v/>
      </c>
      <c r="K54" s="10" t="str">
        <f t="shared" si="26"/>
        <v/>
      </c>
      <c r="L54" s="11" t="str">
        <f t="shared" si="27"/>
        <v/>
      </c>
      <c r="M54" s="12" t="str">
        <f t="shared" si="28"/>
        <v/>
      </c>
      <c r="N54" s="13" t="str">
        <f t="shared" si="29"/>
        <v/>
      </c>
      <c r="O54" s="14" t="str">
        <f t="shared" si="30"/>
        <v/>
      </c>
      <c r="P54" s="15"/>
      <c r="Q54" s="16" t="str">
        <f t="shared" si="40"/>
        <v/>
      </c>
      <c r="R54" s="16" t="str">
        <f t="shared" si="41"/>
        <v/>
      </c>
      <c r="S54" s="17" t="str">
        <f t="shared" si="42"/>
        <v/>
      </c>
      <c r="T54" s="17" t="str">
        <f t="shared" si="43"/>
        <v/>
      </c>
      <c r="U54" s="16" t="str">
        <f t="shared" si="31"/>
        <v/>
      </c>
      <c r="V54" s="17" t="str">
        <f t="shared" si="32"/>
        <v/>
      </c>
      <c r="W54" s="18">
        <f t="shared" si="44"/>
        <v>0</v>
      </c>
      <c r="X54" s="18">
        <f t="shared" si="45"/>
        <v>0</v>
      </c>
      <c r="Y54" s="18" t="str">
        <f t="shared" si="46"/>
        <v/>
      </c>
      <c r="Z54" s="19">
        <f>IF(W54=1,MAX(0,MIN(Settings!$B$6,(IFERROR(VLOOKUP(U53,'Bucket Status'!$A$4:$B$75,2,FALSE()),0)-(SUMIF($U$5:$U53,U53,$AK$5:$AK53)+SUMIF($V$5:$V53,U53,$AL$5:$AL53)+SUMIF($Y$5:$Y53,U53,$AA$5:$AA53)+SUMIF($AC$5:$AC53,U53,$AE$5:$AE53))))),IF(AB53&gt;0,AB53,0))</f>
        <v>0</v>
      </c>
      <c r="AA54" s="19">
        <f t="shared" si="33"/>
        <v>0</v>
      </c>
      <c r="AB54" s="19">
        <f t="shared" si="34"/>
        <v>0</v>
      </c>
      <c r="AC54" s="18" t="str">
        <f t="shared" si="47"/>
        <v/>
      </c>
      <c r="AD54" s="19">
        <f>IF(X54=1,MAX(0,MIN(Settings!$B$6-Z54,(IFERROR(VLOOKUP(V53,'Bucket Status'!$A$4:$B$75,2,FALSE()),0)-(SUMIF($U$5:$U53,V53,$AK$5:$AK53)+SUMIF($V$5:$V53,V53,$AL$5:$AL53)+SUMIF($Y$5:$Y53,V53,$AA$5:$AA53)+SUMIF($AC$5:$AC53,V53,$AE$5:$AE53))))),IF(AF53&gt;0,AF53,0))</f>
        <v>0</v>
      </c>
      <c r="AE54" s="19">
        <f t="shared" si="35"/>
        <v>0</v>
      </c>
      <c r="AF54" s="19">
        <f t="shared" si="36"/>
        <v>0</v>
      </c>
      <c r="AG54" s="20">
        <f>IFERROR(IF(C54="Y",Settings!$B$4+Settings!$B$5,0),0)</f>
        <v>0</v>
      </c>
      <c r="AH54" s="21" t="str">
        <f>IFERROR(IF(U54="","",IFERROR(VLOOKUP(U54,'Bucket Status'!$A$4:$B$75,2,FALSE()),0)-(SUMIF($U$5:$U53,U54,$AK$5:$AK53)+SUMIF($V$5:$V53,U54,$AL$5:$AL53)+SUMIF($Y$5:$Y53,U54,$AA$5:$AA53)+SUMIF($AC$5:$AC53,U54,$AE$5:$AE53))),"")</f>
        <v/>
      </c>
      <c r="AI54" s="22" t="str">
        <f>IFERROR(IF(V54="","",IFERROR(VLOOKUP(V54,'Bucket Status'!$A$4:$B$75,2,FALSE()),0)-(SUMIF($U$5:$U53,V54,$AK$5:$AK53)+SUMIF($V$5:$V53,V54,$AL$5:$AL53)+SUMIF($Y$5:$Y53,V54,$AA$5:$AA53)+SUMIF($AC$5:$AC53,V54,$AE$5:$AE53))),"")</f>
        <v/>
      </c>
      <c r="AJ54" s="23" t="str">
        <f t="shared" si="37"/>
        <v/>
      </c>
      <c r="AK54" s="21" t="str">
        <f t="shared" si="38"/>
        <v/>
      </c>
      <c r="AL54" s="22" t="str">
        <f t="shared" si="39"/>
        <v/>
      </c>
    </row>
    <row r="55" spans="1:38" ht="18" customHeight="1" x14ac:dyDescent="0.3">
      <c r="A55" s="3"/>
      <c r="B55" s="50"/>
      <c r="C55" s="4"/>
      <c r="D55" s="5"/>
      <c r="E55" s="5"/>
      <c r="F55" s="6"/>
      <c r="G55" s="6"/>
      <c r="H55" s="7"/>
      <c r="I55" s="8" t="str">
        <f t="shared" si="24"/>
        <v/>
      </c>
      <c r="J55" s="9" t="str">
        <f t="shared" si="25"/>
        <v/>
      </c>
      <c r="K55" s="10" t="str">
        <f t="shared" si="26"/>
        <v/>
      </c>
      <c r="L55" s="11" t="str">
        <f t="shared" si="27"/>
        <v/>
      </c>
      <c r="M55" s="12" t="str">
        <f t="shared" si="28"/>
        <v/>
      </c>
      <c r="N55" s="13" t="str">
        <f t="shared" si="29"/>
        <v/>
      </c>
      <c r="O55" s="14" t="str">
        <f t="shared" si="30"/>
        <v/>
      </c>
      <c r="P55" s="15"/>
      <c r="Q55" s="16" t="str">
        <f t="shared" si="40"/>
        <v/>
      </c>
      <c r="R55" s="16" t="str">
        <f t="shared" si="41"/>
        <v/>
      </c>
      <c r="S55" s="17" t="str">
        <f t="shared" si="42"/>
        <v/>
      </c>
      <c r="T55" s="17" t="str">
        <f t="shared" si="43"/>
        <v/>
      </c>
      <c r="U55" s="16" t="str">
        <f t="shared" si="31"/>
        <v/>
      </c>
      <c r="V55" s="17" t="str">
        <f t="shared" si="32"/>
        <v/>
      </c>
      <c r="W55" s="18">
        <f t="shared" si="44"/>
        <v>0</v>
      </c>
      <c r="X55" s="18">
        <f t="shared" si="45"/>
        <v>0</v>
      </c>
      <c r="Y55" s="18" t="str">
        <f t="shared" si="46"/>
        <v/>
      </c>
      <c r="Z55" s="19">
        <f>IF(W55=1,MAX(0,MIN(Settings!$B$6,(IFERROR(VLOOKUP(U54,'Bucket Status'!$A$4:$B$75,2,FALSE()),0)-(SUMIF($U$5:$U54,U54,$AK$5:$AK54)+SUMIF($V$5:$V54,U54,$AL$5:$AL54)+SUMIF($Y$5:$Y54,U54,$AA$5:$AA54)+SUMIF($AC$5:$AC54,U54,$AE$5:$AE54))))),IF(AB54&gt;0,AB54,0))</f>
        <v>0</v>
      </c>
      <c r="AA55" s="19">
        <f t="shared" si="33"/>
        <v>0</v>
      </c>
      <c r="AB55" s="19">
        <f t="shared" si="34"/>
        <v>0</v>
      </c>
      <c r="AC55" s="18" t="str">
        <f t="shared" si="47"/>
        <v/>
      </c>
      <c r="AD55" s="19">
        <f>IF(X55=1,MAX(0,MIN(Settings!$B$6-Z55,(IFERROR(VLOOKUP(V54,'Bucket Status'!$A$4:$B$75,2,FALSE()),0)-(SUMIF($U$5:$U54,V54,$AK$5:$AK54)+SUMIF($V$5:$V54,V54,$AL$5:$AL54)+SUMIF($Y$5:$Y54,V54,$AA$5:$AA54)+SUMIF($AC$5:$AC54,V54,$AE$5:$AE54))))),IF(AF54&gt;0,AF54,0))</f>
        <v>0</v>
      </c>
      <c r="AE55" s="19">
        <f t="shared" si="35"/>
        <v>0</v>
      </c>
      <c r="AF55" s="19">
        <f t="shared" si="36"/>
        <v>0</v>
      </c>
      <c r="AG55" s="20">
        <f>IFERROR(IF(C55="Y",Settings!$B$4+Settings!$B$5,0),0)</f>
        <v>0</v>
      </c>
      <c r="AH55" s="21" t="str">
        <f>IFERROR(IF(U55="","",IFERROR(VLOOKUP(U55,'Bucket Status'!$A$4:$B$75,2,FALSE()),0)-(SUMIF($U$5:$U54,U55,$AK$5:$AK54)+SUMIF($V$5:$V54,U55,$AL$5:$AL54)+SUMIF($Y$5:$Y54,U55,$AA$5:$AA54)+SUMIF($AC$5:$AC54,U55,$AE$5:$AE54))),"")</f>
        <v/>
      </c>
      <c r="AI55" s="22" t="str">
        <f>IFERROR(IF(V55="","",IFERROR(VLOOKUP(V55,'Bucket Status'!$A$4:$B$75,2,FALSE()),0)-(SUMIF($U$5:$U54,V55,$AK$5:$AK54)+SUMIF($V$5:$V54,V55,$AL$5:$AL54)+SUMIF($Y$5:$Y54,V55,$AA$5:$AA54)+SUMIF($AC$5:$AC54,V55,$AE$5:$AE54))),"")</f>
        <v/>
      </c>
      <c r="AJ55" s="23" t="str">
        <f t="shared" si="37"/>
        <v/>
      </c>
      <c r="AK55" s="21" t="str">
        <f t="shared" si="38"/>
        <v/>
      </c>
      <c r="AL55" s="22" t="str">
        <f t="shared" si="39"/>
        <v/>
      </c>
    </row>
    <row r="56" spans="1:38" ht="18" customHeight="1" x14ac:dyDescent="0.3">
      <c r="A56" s="3"/>
      <c r="B56" s="50"/>
      <c r="C56" s="4"/>
      <c r="D56" s="5"/>
      <c r="E56" s="5"/>
      <c r="F56" s="6"/>
      <c r="G56" s="6"/>
      <c r="H56" s="7"/>
      <c r="I56" s="8" t="str">
        <f t="shared" si="24"/>
        <v/>
      </c>
      <c r="J56" s="9" t="str">
        <f t="shared" si="25"/>
        <v/>
      </c>
      <c r="K56" s="10" t="str">
        <f t="shared" si="26"/>
        <v/>
      </c>
      <c r="L56" s="11" t="str">
        <f t="shared" si="27"/>
        <v/>
      </c>
      <c r="M56" s="12" t="str">
        <f t="shared" si="28"/>
        <v/>
      </c>
      <c r="N56" s="13" t="str">
        <f t="shared" si="29"/>
        <v/>
      </c>
      <c r="O56" s="14" t="str">
        <f t="shared" si="30"/>
        <v/>
      </c>
      <c r="P56" s="15"/>
      <c r="Q56" s="16" t="str">
        <f t="shared" si="40"/>
        <v/>
      </c>
      <c r="R56" s="16" t="str">
        <f t="shared" si="41"/>
        <v/>
      </c>
      <c r="S56" s="17" t="str">
        <f t="shared" si="42"/>
        <v/>
      </c>
      <c r="T56" s="17" t="str">
        <f t="shared" si="43"/>
        <v/>
      </c>
      <c r="U56" s="16" t="str">
        <f t="shared" si="31"/>
        <v/>
      </c>
      <c r="V56" s="17" t="str">
        <f t="shared" si="32"/>
        <v/>
      </c>
      <c r="W56" s="18">
        <f t="shared" si="44"/>
        <v>0</v>
      </c>
      <c r="X56" s="18">
        <f t="shared" si="45"/>
        <v>0</v>
      </c>
      <c r="Y56" s="18" t="str">
        <f t="shared" si="46"/>
        <v/>
      </c>
      <c r="Z56" s="19">
        <f>IF(W56=1,MAX(0,MIN(Settings!$B$6,(IFERROR(VLOOKUP(U55,'Bucket Status'!$A$4:$B$75,2,FALSE()),0)-(SUMIF($U$5:$U55,U55,$AK$5:$AK55)+SUMIF($V$5:$V55,U55,$AL$5:$AL55)+SUMIF($Y$5:$Y55,U55,$AA$5:$AA55)+SUMIF($AC$5:$AC55,U55,$AE$5:$AE55))))),IF(AB55&gt;0,AB55,0))</f>
        <v>0</v>
      </c>
      <c r="AA56" s="19">
        <f t="shared" si="33"/>
        <v>0</v>
      </c>
      <c r="AB56" s="19">
        <f t="shared" si="34"/>
        <v>0</v>
      </c>
      <c r="AC56" s="18" t="str">
        <f t="shared" si="47"/>
        <v/>
      </c>
      <c r="AD56" s="19">
        <f>IF(X56=1,MAX(0,MIN(Settings!$B$6-Z56,(IFERROR(VLOOKUP(V55,'Bucket Status'!$A$4:$B$75,2,FALSE()),0)-(SUMIF($U$5:$U55,V55,$AK$5:$AK55)+SUMIF($V$5:$V55,V55,$AL$5:$AL55)+SUMIF($Y$5:$Y55,V55,$AA$5:$AA55)+SUMIF($AC$5:$AC55,V55,$AE$5:$AE55))))),IF(AF55&gt;0,AF55,0))</f>
        <v>0</v>
      </c>
      <c r="AE56" s="19">
        <f t="shared" si="35"/>
        <v>0</v>
      </c>
      <c r="AF56" s="19">
        <f t="shared" si="36"/>
        <v>0</v>
      </c>
      <c r="AG56" s="20">
        <f>IFERROR(IF(C56="Y",Settings!$B$4+Settings!$B$5,0),0)</f>
        <v>0</v>
      </c>
      <c r="AH56" s="21" t="str">
        <f>IFERROR(IF(U56="","",IFERROR(VLOOKUP(U56,'Bucket Status'!$A$4:$B$75,2,FALSE()),0)-(SUMIF($U$5:$U55,U56,$AK$5:$AK55)+SUMIF($V$5:$V55,U56,$AL$5:$AL55)+SUMIF($Y$5:$Y55,U56,$AA$5:$AA55)+SUMIF($AC$5:$AC55,U56,$AE$5:$AE55))),"")</f>
        <v/>
      </c>
      <c r="AI56" s="22" t="str">
        <f>IFERROR(IF(V56="","",IFERROR(VLOOKUP(V56,'Bucket Status'!$A$4:$B$75,2,FALSE()),0)-(SUMIF($U$5:$U55,V56,$AK$5:$AK55)+SUMIF($V$5:$V55,V56,$AL$5:$AL55)+SUMIF($Y$5:$Y55,V56,$AA$5:$AA55)+SUMIF($AC$5:$AC55,V56,$AE$5:$AE55))),"")</f>
        <v/>
      </c>
      <c r="AJ56" s="23" t="str">
        <f t="shared" si="37"/>
        <v/>
      </c>
      <c r="AK56" s="21" t="str">
        <f t="shared" si="38"/>
        <v/>
      </c>
      <c r="AL56" s="22" t="str">
        <f t="shared" si="39"/>
        <v/>
      </c>
    </row>
    <row r="57" spans="1:38" ht="18" customHeight="1" x14ac:dyDescent="0.3">
      <c r="A57" s="3"/>
      <c r="B57" s="50"/>
      <c r="C57" s="4"/>
      <c r="D57" s="5"/>
      <c r="E57" s="5"/>
      <c r="F57" s="6"/>
      <c r="G57" s="6"/>
      <c r="H57" s="7"/>
      <c r="I57" s="8" t="str">
        <f t="shared" si="24"/>
        <v/>
      </c>
      <c r="J57" s="9" t="str">
        <f t="shared" si="25"/>
        <v/>
      </c>
      <c r="K57" s="10" t="str">
        <f t="shared" si="26"/>
        <v/>
      </c>
      <c r="L57" s="11" t="str">
        <f t="shared" si="27"/>
        <v/>
      </c>
      <c r="M57" s="12" t="str">
        <f t="shared" si="28"/>
        <v/>
      </c>
      <c r="N57" s="13" t="str">
        <f t="shared" si="29"/>
        <v/>
      </c>
      <c r="O57" s="14" t="str">
        <f t="shared" si="30"/>
        <v/>
      </c>
      <c r="P57" s="15"/>
      <c r="Q57" s="16" t="str">
        <f t="shared" si="40"/>
        <v/>
      </c>
      <c r="R57" s="16" t="str">
        <f t="shared" si="41"/>
        <v/>
      </c>
      <c r="S57" s="17" t="str">
        <f t="shared" si="42"/>
        <v/>
      </c>
      <c r="T57" s="17" t="str">
        <f t="shared" si="43"/>
        <v/>
      </c>
      <c r="U57" s="16" t="str">
        <f t="shared" si="31"/>
        <v/>
      </c>
      <c r="V57" s="17" t="str">
        <f t="shared" si="32"/>
        <v/>
      </c>
      <c r="W57" s="18">
        <f t="shared" si="44"/>
        <v>0</v>
      </c>
      <c r="X57" s="18">
        <f t="shared" si="45"/>
        <v>0</v>
      </c>
      <c r="Y57" s="18" t="str">
        <f t="shared" si="46"/>
        <v/>
      </c>
      <c r="Z57" s="19">
        <f>IF(W57=1,MAX(0,MIN(Settings!$B$6,(IFERROR(VLOOKUP(U56,'Bucket Status'!$A$4:$B$75,2,FALSE()),0)-(SUMIF($U$5:$U56,U56,$AK$5:$AK56)+SUMIF($V$5:$V56,U56,$AL$5:$AL56)+SUMIF($Y$5:$Y56,U56,$AA$5:$AA56)+SUMIF($AC$5:$AC56,U56,$AE$5:$AE56))))),IF(AB56&gt;0,AB56,0))</f>
        <v>0</v>
      </c>
      <c r="AA57" s="19">
        <f t="shared" si="33"/>
        <v>0</v>
      </c>
      <c r="AB57" s="19">
        <f t="shared" si="34"/>
        <v>0</v>
      </c>
      <c r="AC57" s="18" t="str">
        <f t="shared" si="47"/>
        <v/>
      </c>
      <c r="AD57" s="19">
        <f>IF(X57=1,MAX(0,MIN(Settings!$B$6-Z57,(IFERROR(VLOOKUP(V56,'Bucket Status'!$A$4:$B$75,2,FALSE()),0)-(SUMIF($U$5:$U56,V56,$AK$5:$AK56)+SUMIF($V$5:$V56,V56,$AL$5:$AL56)+SUMIF($Y$5:$Y56,V56,$AA$5:$AA56)+SUMIF($AC$5:$AC56,V56,$AE$5:$AE56))))),IF(AF56&gt;0,AF56,0))</f>
        <v>0</v>
      </c>
      <c r="AE57" s="19">
        <f t="shared" si="35"/>
        <v>0</v>
      </c>
      <c r="AF57" s="19">
        <f t="shared" si="36"/>
        <v>0</v>
      </c>
      <c r="AG57" s="20">
        <f>IFERROR(IF(C57="Y",Settings!$B$4+Settings!$B$5,0),0)</f>
        <v>0</v>
      </c>
      <c r="AH57" s="21" t="str">
        <f>IFERROR(IF(U57="","",IFERROR(VLOOKUP(U57,'Bucket Status'!$A$4:$B$75,2,FALSE()),0)-(SUMIF($U$5:$U56,U57,$AK$5:$AK56)+SUMIF($V$5:$V56,U57,$AL$5:$AL56)+SUMIF($Y$5:$Y56,U57,$AA$5:$AA56)+SUMIF($AC$5:$AC56,U57,$AE$5:$AE56))),"")</f>
        <v/>
      </c>
      <c r="AI57" s="22" t="str">
        <f>IFERROR(IF(V57="","",IFERROR(VLOOKUP(V57,'Bucket Status'!$A$4:$B$75,2,FALSE()),0)-(SUMIF($U$5:$U56,V57,$AK$5:$AK56)+SUMIF($V$5:$V56,V57,$AL$5:$AL56)+SUMIF($Y$5:$Y56,V57,$AA$5:$AA56)+SUMIF($AC$5:$AC56,V57,$AE$5:$AE56))),"")</f>
        <v/>
      </c>
      <c r="AJ57" s="23" t="str">
        <f t="shared" si="37"/>
        <v/>
      </c>
      <c r="AK57" s="21" t="str">
        <f t="shared" si="38"/>
        <v/>
      </c>
      <c r="AL57" s="22" t="str">
        <f t="shared" si="39"/>
        <v/>
      </c>
    </row>
    <row r="58" spans="1:38" ht="18" customHeight="1" x14ac:dyDescent="0.3">
      <c r="A58" s="3"/>
      <c r="B58" s="50"/>
      <c r="C58" s="4"/>
      <c r="D58" s="5"/>
      <c r="E58" s="5"/>
      <c r="F58" s="6"/>
      <c r="G58" s="6"/>
      <c r="H58" s="7"/>
      <c r="I58" s="8" t="str">
        <f t="shared" si="24"/>
        <v/>
      </c>
      <c r="J58" s="9" t="str">
        <f t="shared" si="25"/>
        <v/>
      </c>
      <c r="K58" s="10" t="str">
        <f t="shared" si="26"/>
        <v/>
      </c>
      <c r="L58" s="11" t="str">
        <f t="shared" si="27"/>
        <v/>
      </c>
      <c r="M58" s="12" t="str">
        <f t="shared" si="28"/>
        <v/>
      </c>
      <c r="N58" s="13" t="str">
        <f t="shared" si="29"/>
        <v/>
      </c>
      <c r="O58" s="14" t="str">
        <f t="shared" si="30"/>
        <v/>
      </c>
      <c r="P58" s="15"/>
      <c r="Q58" s="16" t="str">
        <f t="shared" si="40"/>
        <v/>
      </c>
      <c r="R58" s="16" t="str">
        <f t="shared" si="41"/>
        <v/>
      </c>
      <c r="S58" s="17" t="str">
        <f t="shared" si="42"/>
        <v/>
      </c>
      <c r="T58" s="17" t="str">
        <f t="shared" si="43"/>
        <v/>
      </c>
      <c r="U58" s="16" t="str">
        <f t="shared" si="31"/>
        <v/>
      </c>
      <c r="V58" s="17" t="str">
        <f t="shared" si="32"/>
        <v/>
      </c>
      <c r="W58" s="18">
        <f t="shared" si="44"/>
        <v>0</v>
      </c>
      <c r="X58" s="18">
        <f t="shared" si="45"/>
        <v>0</v>
      </c>
      <c r="Y58" s="18" t="str">
        <f t="shared" si="46"/>
        <v/>
      </c>
      <c r="Z58" s="19">
        <f>IF(W58=1,MAX(0,MIN(Settings!$B$6,(IFERROR(VLOOKUP(U57,'Bucket Status'!$A$4:$B$75,2,FALSE()),0)-(SUMIF($U$5:$U57,U57,$AK$5:$AK57)+SUMIF($V$5:$V57,U57,$AL$5:$AL57)+SUMIF($Y$5:$Y57,U57,$AA$5:$AA57)+SUMIF($AC$5:$AC57,U57,$AE$5:$AE57))))),IF(AB57&gt;0,AB57,0))</f>
        <v>0</v>
      </c>
      <c r="AA58" s="19">
        <f t="shared" si="33"/>
        <v>0</v>
      </c>
      <c r="AB58" s="19">
        <f t="shared" si="34"/>
        <v>0</v>
      </c>
      <c r="AC58" s="18" t="str">
        <f t="shared" si="47"/>
        <v/>
      </c>
      <c r="AD58" s="19">
        <f>IF(X58=1,MAX(0,MIN(Settings!$B$6-Z58,(IFERROR(VLOOKUP(V57,'Bucket Status'!$A$4:$B$75,2,FALSE()),0)-(SUMIF($U$5:$U57,V57,$AK$5:$AK57)+SUMIF($V$5:$V57,V57,$AL$5:$AL57)+SUMIF($Y$5:$Y57,V57,$AA$5:$AA57)+SUMIF($AC$5:$AC57,V57,$AE$5:$AE57))))),IF(AF57&gt;0,AF57,0))</f>
        <v>0</v>
      </c>
      <c r="AE58" s="19">
        <f t="shared" si="35"/>
        <v>0</v>
      </c>
      <c r="AF58" s="19">
        <f t="shared" si="36"/>
        <v>0</v>
      </c>
      <c r="AG58" s="20">
        <f>IFERROR(IF(C58="Y",Settings!$B$4+Settings!$B$5,0),0)</f>
        <v>0</v>
      </c>
      <c r="AH58" s="21" t="str">
        <f>IFERROR(IF(U58="","",IFERROR(VLOOKUP(U58,'Bucket Status'!$A$4:$B$75,2,FALSE()),0)-(SUMIF($U$5:$U57,U58,$AK$5:$AK57)+SUMIF($V$5:$V57,U58,$AL$5:$AL57)+SUMIF($Y$5:$Y57,U58,$AA$5:$AA57)+SUMIF($AC$5:$AC57,U58,$AE$5:$AE57))),"")</f>
        <v/>
      </c>
      <c r="AI58" s="22" t="str">
        <f>IFERROR(IF(V58="","",IFERROR(VLOOKUP(V58,'Bucket Status'!$A$4:$B$75,2,FALSE()),0)-(SUMIF($U$5:$U57,V58,$AK$5:$AK57)+SUMIF($V$5:$V57,V58,$AL$5:$AL57)+SUMIF($Y$5:$Y57,V58,$AA$5:$AA57)+SUMIF($AC$5:$AC57,V58,$AE$5:$AE57))),"")</f>
        <v/>
      </c>
      <c r="AJ58" s="23" t="str">
        <f t="shared" si="37"/>
        <v/>
      </c>
      <c r="AK58" s="21" t="str">
        <f t="shared" si="38"/>
        <v/>
      </c>
      <c r="AL58" s="22" t="str">
        <f t="shared" si="39"/>
        <v/>
      </c>
    </row>
    <row r="59" spans="1:38" ht="18" customHeight="1" x14ac:dyDescent="0.3">
      <c r="A59" s="3"/>
      <c r="B59" s="50"/>
      <c r="C59" s="4"/>
      <c r="D59" s="5"/>
      <c r="E59" s="5"/>
      <c r="F59" s="6"/>
      <c r="G59" s="6"/>
      <c r="H59" s="7"/>
      <c r="I59" s="8" t="str">
        <f t="shared" si="24"/>
        <v/>
      </c>
      <c r="J59" s="9" t="str">
        <f t="shared" si="25"/>
        <v/>
      </c>
      <c r="K59" s="10" t="str">
        <f t="shared" si="26"/>
        <v/>
      </c>
      <c r="L59" s="11" t="str">
        <f t="shared" si="27"/>
        <v/>
      </c>
      <c r="M59" s="12" t="str">
        <f t="shared" si="28"/>
        <v/>
      </c>
      <c r="N59" s="13" t="str">
        <f t="shared" si="29"/>
        <v/>
      </c>
      <c r="O59" s="14" t="str">
        <f t="shared" si="30"/>
        <v/>
      </c>
      <c r="P59" s="15"/>
      <c r="Q59" s="16" t="str">
        <f t="shared" si="40"/>
        <v/>
      </c>
      <c r="R59" s="16" t="str">
        <f t="shared" si="41"/>
        <v/>
      </c>
      <c r="S59" s="17" t="str">
        <f t="shared" si="42"/>
        <v/>
      </c>
      <c r="T59" s="17" t="str">
        <f t="shared" si="43"/>
        <v/>
      </c>
      <c r="U59" s="16" t="str">
        <f t="shared" si="31"/>
        <v/>
      </c>
      <c r="V59" s="17" t="str">
        <f t="shared" si="32"/>
        <v/>
      </c>
      <c r="W59" s="18">
        <f t="shared" si="44"/>
        <v>0</v>
      </c>
      <c r="X59" s="18">
        <f t="shared" si="45"/>
        <v>0</v>
      </c>
      <c r="Y59" s="18" t="str">
        <f t="shared" si="46"/>
        <v/>
      </c>
      <c r="Z59" s="19">
        <f>IF(W59=1,MAX(0,MIN(Settings!$B$6,(IFERROR(VLOOKUP(U58,'Bucket Status'!$A$4:$B$75,2,FALSE()),0)-(SUMIF($U$5:$U58,U58,$AK$5:$AK58)+SUMIF($V$5:$V58,U58,$AL$5:$AL58)+SUMIF($Y$5:$Y58,U58,$AA$5:$AA58)+SUMIF($AC$5:$AC58,U58,$AE$5:$AE58))))),IF(AB58&gt;0,AB58,0))</f>
        <v>0</v>
      </c>
      <c r="AA59" s="19">
        <f t="shared" si="33"/>
        <v>0</v>
      </c>
      <c r="AB59" s="19">
        <f t="shared" si="34"/>
        <v>0</v>
      </c>
      <c r="AC59" s="18" t="str">
        <f t="shared" si="47"/>
        <v/>
      </c>
      <c r="AD59" s="19">
        <f>IF(X59=1,MAX(0,MIN(Settings!$B$6-Z59,(IFERROR(VLOOKUP(V58,'Bucket Status'!$A$4:$B$75,2,FALSE()),0)-(SUMIF($U$5:$U58,V58,$AK$5:$AK58)+SUMIF($V$5:$V58,V58,$AL$5:$AL58)+SUMIF($Y$5:$Y58,V58,$AA$5:$AA58)+SUMIF($AC$5:$AC58,V58,$AE$5:$AE58))))),IF(AF58&gt;0,AF58,0))</f>
        <v>0</v>
      </c>
      <c r="AE59" s="19">
        <f t="shared" si="35"/>
        <v>0</v>
      </c>
      <c r="AF59" s="19">
        <f t="shared" si="36"/>
        <v>0</v>
      </c>
      <c r="AG59" s="20">
        <f>IFERROR(IF(C59="Y",Settings!$B$4+Settings!$B$5,0),0)</f>
        <v>0</v>
      </c>
      <c r="AH59" s="21" t="str">
        <f>IFERROR(IF(U59="","",IFERROR(VLOOKUP(U59,'Bucket Status'!$A$4:$B$75,2,FALSE()),0)-(SUMIF($U$5:$U58,U59,$AK$5:$AK58)+SUMIF($V$5:$V58,U59,$AL$5:$AL58)+SUMIF($Y$5:$Y58,U59,$AA$5:$AA58)+SUMIF($AC$5:$AC58,U59,$AE$5:$AE58))),"")</f>
        <v/>
      </c>
      <c r="AI59" s="22" t="str">
        <f>IFERROR(IF(V59="","",IFERROR(VLOOKUP(V59,'Bucket Status'!$A$4:$B$75,2,FALSE()),0)-(SUMIF($U$5:$U58,V59,$AK$5:$AK58)+SUMIF($V$5:$V58,V59,$AL$5:$AL58)+SUMIF($Y$5:$Y58,V59,$AA$5:$AA58)+SUMIF($AC$5:$AC58,V59,$AE$5:$AE58))),"")</f>
        <v/>
      </c>
      <c r="AJ59" s="23" t="str">
        <f t="shared" si="37"/>
        <v/>
      </c>
      <c r="AK59" s="21" t="str">
        <f t="shared" si="38"/>
        <v/>
      </c>
      <c r="AL59" s="22" t="str">
        <f t="shared" si="39"/>
        <v/>
      </c>
    </row>
    <row r="60" spans="1:38" ht="18" customHeight="1" x14ac:dyDescent="0.3">
      <c r="A60" s="3"/>
      <c r="B60" s="50"/>
      <c r="C60" s="4"/>
      <c r="D60" s="5"/>
      <c r="E60" s="5"/>
      <c r="F60" s="6"/>
      <c r="G60" s="6"/>
      <c r="H60" s="7"/>
      <c r="I60" s="8" t="str">
        <f t="shared" si="24"/>
        <v/>
      </c>
      <c r="J60" s="9" t="str">
        <f t="shared" si="25"/>
        <v/>
      </c>
      <c r="K60" s="10" t="str">
        <f t="shared" si="26"/>
        <v/>
      </c>
      <c r="L60" s="11" t="str">
        <f t="shared" si="27"/>
        <v/>
      </c>
      <c r="M60" s="12" t="str">
        <f t="shared" si="28"/>
        <v/>
      </c>
      <c r="N60" s="13" t="str">
        <f t="shared" si="29"/>
        <v/>
      </c>
      <c r="O60" s="14" t="str">
        <f t="shared" si="30"/>
        <v/>
      </c>
      <c r="P60" s="15"/>
      <c r="Q60" s="16" t="str">
        <f t="shared" si="40"/>
        <v/>
      </c>
      <c r="R60" s="16" t="str">
        <f t="shared" si="41"/>
        <v/>
      </c>
      <c r="S60" s="17" t="str">
        <f t="shared" si="42"/>
        <v/>
      </c>
      <c r="T60" s="17" t="str">
        <f t="shared" si="43"/>
        <v/>
      </c>
      <c r="U60" s="16" t="str">
        <f t="shared" si="31"/>
        <v/>
      </c>
      <c r="V60" s="17" t="str">
        <f t="shared" si="32"/>
        <v/>
      </c>
      <c r="W60" s="18">
        <f t="shared" si="44"/>
        <v>0</v>
      </c>
      <c r="X60" s="18">
        <f t="shared" si="45"/>
        <v>0</v>
      </c>
      <c r="Y60" s="18" t="str">
        <f t="shared" si="46"/>
        <v/>
      </c>
      <c r="Z60" s="19">
        <f>IF(W60=1,MAX(0,MIN(Settings!$B$6,(IFERROR(VLOOKUP(U59,'Bucket Status'!$A$4:$B$75,2,FALSE()),0)-(SUMIF($U$5:$U59,U59,$AK$5:$AK59)+SUMIF($V$5:$V59,U59,$AL$5:$AL59)+SUMIF($Y$5:$Y59,U59,$AA$5:$AA59)+SUMIF($AC$5:$AC59,U59,$AE$5:$AE59))))),IF(AB59&gt;0,AB59,0))</f>
        <v>0</v>
      </c>
      <c r="AA60" s="19">
        <f t="shared" si="33"/>
        <v>0</v>
      </c>
      <c r="AB60" s="19">
        <f t="shared" si="34"/>
        <v>0</v>
      </c>
      <c r="AC60" s="18" t="str">
        <f t="shared" si="47"/>
        <v/>
      </c>
      <c r="AD60" s="19">
        <f>IF(X60=1,MAX(0,MIN(Settings!$B$6-Z60,(IFERROR(VLOOKUP(V59,'Bucket Status'!$A$4:$B$75,2,FALSE()),0)-(SUMIF($U$5:$U59,V59,$AK$5:$AK59)+SUMIF($V$5:$V59,V59,$AL$5:$AL59)+SUMIF($Y$5:$Y59,V59,$AA$5:$AA59)+SUMIF($AC$5:$AC59,V59,$AE$5:$AE59))))),IF(AF59&gt;0,AF59,0))</f>
        <v>0</v>
      </c>
      <c r="AE60" s="19">
        <f t="shared" si="35"/>
        <v>0</v>
      </c>
      <c r="AF60" s="19">
        <f t="shared" si="36"/>
        <v>0</v>
      </c>
      <c r="AG60" s="20">
        <f>IFERROR(IF(C60="Y",Settings!$B$4+Settings!$B$5,0),0)</f>
        <v>0</v>
      </c>
      <c r="AH60" s="21" t="str">
        <f>IFERROR(IF(U60="","",IFERROR(VLOOKUP(U60,'Bucket Status'!$A$4:$B$75,2,FALSE()),0)-(SUMIF($U$5:$U59,U60,$AK$5:$AK59)+SUMIF($V$5:$V59,U60,$AL$5:$AL59)+SUMIF($Y$5:$Y59,U60,$AA$5:$AA59)+SUMIF($AC$5:$AC59,U60,$AE$5:$AE59))),"")</f>
        <v/>
      </c>
      <c r="AI60" s="22" t="str">
        <f>IFERROR(IF(V60="","",IFERROR(VLOOKUP(V60,'Bucket Status'!$A$4:$B$75,2,FALSE()),0)-(SUMIF($U$5:$U59,V60,$AK$5:$AK59)+SUMIF($V$5:$V59,V60,$AL$5:$AL59)+SUMIF($Y$5:$Y59,V60,$AA$5:$AA59)+SUMIF($AC$5:$AC59,V60,$AE$5:$AE59))),"")</f>
        <v/>
      </c>
      <c r="AJ60" s="23" t="str">
        <f t="shared" si="37"/>
        <v/>
      </c>
      <c r="AK60" s="21" t="str">
        <f t="shared" si="38"/>
        <v/>
      </c>
      <c r="AL60" s="22" t="str">
        <f t="shared" si="39"/>
        <v/>
      </c>
    </row>
    <row r="61" spans="1:38" ht="18" customHeight="1" x14ac:dyDescent="0.3">
      <c r="A61" s="3"/>
      <c r="B61" s="50"/>
      <c r="C61" s="4"/>
      <c r="D61" s="5"/>
      <c r="E61" s="5"/>
      <c r="F61" s="6"/>
      <c r="G61" s="6"/>
      <c r="H61" s="7"/>
      <c r="I61" s="8" t="str">
        <f t="shared" si="24"/>
        <v/>
      </c>
      <c r="J61" s="9" t="str">
        <f t="shared" si="25"/>
        <v/>
      </c>
      <c r="K61" s="10" t="str">
        <f t="shared" si="26"/>
        <v/>
      </c>
      <c r="L61" s="11" t="str">
        <f t="shared" si="27"/>
        <v/>
      </c>
      <c r="M61" s="12" t="str">
        <f t="shared" si="28"/>
        <v/>
      </c>
      <c r="N61" s="13" t="str">
        <f t="shared" si="29"/>
        <v/>
      </c>
      <c r="O61" s="14" t="str">
        <f t="shared" si="30"/>
        <v/>
      </c>
      <c r="P61" s="15"/>
      <c r="Q61" s="16" t="str">
        <f t="shared" si="40"/>
        <v/>
      </c>
      <c r="R61" s="16" t="str">
        <f t="shared" si="41"/>
        <v/>
      </c>
      <c r="S61" s="17" t="str">
        <f t="shared" si="42"/>
        <v/>
      </c>
      <c r="T61" s="17" t="str">
        <f t="shared" si="43"/>
        <v/>
      </c>
      <c r="U61" s="16" t="str">
        <f t="shared" si="31"/>
        <v/>
      </c>
      <c r="V61" s="17" t="str">
        <f t="shared" si="32"/>
        <v/>
      </c>
      <c r="W61" s="18">
        <f t="shared" si="44"/>
        <v>0</v>
      </c>
      <c r="X61" s="18">
        <f t="shared" si="45"/>
        <v>0</v>
      </c>
      <c r="Y61" s="18" t="str">
        <f t="shared" si="46"/>
        <v/>
      </c>
      <c r="Z61" s="19">
        <f>IF(W61=1,MAX(0,MIN(Settings!$B$6,(IFERROR(VLOOKUP(U60,'Bucket Status'!$A$4:$B$75,2,FALSE()),0)-(SUMIF($U$5:$U60,U60,$AK$5:$AK60)+SUMIF($V$5:$V60,U60,$AL$5:$AL60)+SUMIF($Y$5:$Y60,U60,$AA$5:$AA60)+SUMIF($AC$5:$AC60,U60,$AE$5:$AE60))))),IF(AB60&gt;0,AB60,0))</f>
        <v>0</v>
      </c>
      <c r="AA61" s="19">
        <f t="shared" si="33"/>
        <v>0</v>
      </c>
      <c r="AB61" s="19">
        <f t="shared" si="34"/>
        <v>0</v>
      </c>
      <c r="AC61" s="18" t="str">
        <f t="shared" si="47"/>
        <v/>
      </c>
      <c r="AD61" s="19">
        <f>IF(X61=1,MAX(0,MIN(Settings!$B$6-Z61,(IFERROR(VLOOKUP(V60,'Bucket Status'!$A$4:$B$75,2,FALSE()),0)-(SUMIF($U$5:$U60,V60,$AK$5:$AK60)+SUMIF($V$5:$V60,V60,$AL$5:$AL60)+SUMIF($Y$5:$Y60,V60,$AA$5:$AA60)+SUMIF($AC$5:$AC60,V60,$AE$5:$AE60))))),IF(AF60&gt;0,AF60,0))</f>
        <v>0</v>
      </c>
      <c r="AE61" s="19">
        <f t="shared" si="35"/>
        <v>0</v>
      </c>
      <c r="AF61" s="19">
        <f t="shared" si="36"/>
        <v>0</v>
      </c>
      <c r="AG61" s="20">
        <f>IFERROR(IF(C61="Y",Settings!$B$4+Settings!$B$5,0),0)</f>
        <v>0</v>
      </c>
      <c r="AH61" s="21" t="str">
        <f>IFERROR(IF(U61="","",IFERROR(VLOOKUP(U61,'Bucket Status'!$A$4:$B$75,2,FALSE()),0)-(SUMIF($U$5:$U60,U61,$AK$5:$AK60)+SUMIF($V$5:$V60,U61,$AL$5:$AL60)+SUMIF($Y$5:$Y60,U61,$AA$5:$AA60)+SUMIF($AC$5:$AC60,U61,$AE$5:$AE60))),"")</f>
        <v/>
      </c>
      <c r="AI61" s="22" t="str">
        <f>IFERROR(IF(V61="","",IFERROR(VLOOKUP(V61,'Bucket Status'!$A$4:$B$75,2,FALSE()),0)-(SUMIF($U$5:$U60,V61,$AK$5:$AK60)+SUMIF($V$5:$V60,V61,$AL$5:$AL60)+SUMIF($Y$5:$Y60,V61,$AA$5:$AA60)+SUMIF($AC$5:$AC60,V61,$AE$5:$AE60))),"")</f>
        <v/>
      </c>
      <c r="AJ61" s="23" t="str">
        <f t="shared" si="37"/>
        <v/>
      </c>
      <c r="AK61" s="21" t="str">
        <f t="shared" si="38"/>
        <v/>
      </c>
      <c r="AL61" s="22" t="str">
        <f t="shared" si="39"/>
        <v/>
      </c>
    </row>
    <row r="62" spans="1:38" ht="18" customHeight="1" x14ac:dyDescent="0.3">
      <c r="A62" s="3"/>
      <c r="B62" s="50"/>
      <c r="C62" s="4"/>
      <c r="D62" s="5"/>
      <c r="E62" s="5"/>
      <c r="F62" s="6"/>
      <c r="G62" s="6"/>
      <c r="H62" s="7"/>
      <c r="I62" s="8" t="str">
        <f t="shared" si="24"/>
        <v/>
      </c>
      <c r="J62" s="9" t="str">
        <f t="shared" si="25"/>
        <v/>
      </c>
      <c r="K62" s="10" t="str">
        <f t="shared" si="26"/>
        <v/>
      </c>
      <c r="L62" s="11" t="str">
        <f t="shared" si="27"/>
        <v/>
      </c>
      <c r="M62" s="12" t="str">
        <f t="shared" si="28"/>
        <v/>
      </c>
      <c r="N62" s="13" t="str">
        <f t="shared" si="29"/>
        <v/>
      </c>
      <c r="O62" s="14" t="str">
        <f t="shared" si="30"/>
        <v/>
      </c>
      <c r="P62" s="15"/>
      <c r="Q62" s="16" t="str">
        <f t="shared" si="40"/>
        <v/>
      </c>
      <c r="R62" s="16" t="str">
        <f t="shared" si="41"/>
        <v/>
      </c>
      <c r="S62" s="17" t="str">
        <f t="shared" si="42"/>
        <v/>
      </c>
      <c r="T62" s="17" t="str">
        <f t="shared" si="43"/>
        <v/>
      </c>
      <c r="U62" s="16" t="str">
        <f t="shared" si="31"/>
        <v/>
      </c>
      <c r="V62" s="17" t="str">
        <f t="shared" si="32"/>
        <v/>
      </c>
      <c r="W62" s="18">
        <f t="shared" si="44"/>
        <v>0</v>
      </c>
      <c r="X62" s="18">
        <f t="shared" si="45"/>
        <v>0</v>
      </c>
      <c r="Y62" s="18" t="str">
        <f t="shared" si="46"/>
        <v/>
      </c>
      <c r="Z62" s="19">
        <f>IF(W62=1,MAX(0,MIN(Settings!$B$6,(IFERROR(VLOOKUP(U61,'Bucket Status'!$A$4:$B$75,2,FALSE()),0)-(SUMIF($U$5:$U61,U61,$AK$5:$AK61)+SUMIF($V$5:$V61,U61,$AL$5:$AL61)+SUMIF($Y$5:$Y61,U61,$AA$5:$AA61)+SUMIF($AC$5:$AC61,U61,$AE$5:$AE61))))),IF(AB61&gt;0,AB61,0))</f>
        <v>0</v>
      </c>
      <c r="AA62" s="19">
        <f t="shared" si="33"/>
        <v>0</v>
      </c>
      <c r="AB62" s="19">
        <f t="shared" si="34"/>
        <v>0</v>
      </c>
      <c r="AC62" s="18" t="str">
        <f t="shared" si="47"/>
        <v/>
      </c>
      <c r="AD62" s="19">
        <f>IF(X62=1,MAX(0,MIN(Settings!$B$6-Z62,(IFERROR(VLOOKUP(V61,'Bucket Status'!$A$4:$B$75,2,FALSE()),0)-(SUMIF($U$5:$U61,V61,$AK$5:$AK61)+SUMIF($V$5:$V61,V61,$AL$5:$AL61)+SUMIF($Y$5:$Y61,V61,$AA$5:$AA61)+SUMIF($AC$5:$AC61,V61,$AE$5:$AE61))))),IF(AF61&gt;0,AF61,0))</f>
        <v>0</v>
      </c>
      <c r="AE62" s="19">
        <f t="shared" si="35"/>
        <v>0</v>
      </c>
      <c r="AF62" s="19">
        <f t="shared" si="36"/>
        <v>0</v>
      </c>
      <c r="AG62" s="20">
        <f>IFERROR(IF(C62="Y",Settings!$B$4+Settings!$B$5,0),0)</f>
        <v>0</v>
      </c>
      <c r="AH62" s="21" t="str">
        <f>IFERROR(IF(U62="","",IFERROR(VLOOKUP(U62,'Bucket Status'!$A$4:$B$75,2,FALSE()),0)-(SUMIF($U$5:$U61,U62,$AK$5:$AK61)+SUMIF($V$5:$V61,U62,$AL$5:$AL61)+SUMIF($Y$5:$Y61,U62,$AA$5:$AA61)+SUMIF($AC$5:$AC61,U62,$AE$5:$AE61))),"")</f>
        <v/>
      </c>
      <c r="AI62" s="22" t="str">
        <f>IFERROR(IF(V62="","",IFERROR(VLOOKUP(V62,'Bucket Status'!$A$4:$B$75,2,FALSE()),0)-(SUMIF($U$5:$U61,V62,$AK$5:$AK61)+SUMIF($V$5:$V61,V62,$AL$5:$AL61)+SUMIF($Y$5:$Y61,V62,$AA$5:$AA61)+SUMIF($AC$5:$AC61,V62,$AE$5:$AE61))),"")</f>
        <v/>
      </c>
      <c r="AJ62" s="23" t="str">
        <f t="shared" si="37"/>
        <v/>
      </c>
      <c r="AK62" s="21" t="str">
        <f t="shared" si="38"/>
        <v/>
      </c>
      <c r="AL62" s="22" t="str">
        <f t="shared" si="39"/>
        <v/>
      </c>
    </row>
    <row r="63" spans="1:38" ht="18" customHeight="1" x14ac:dyDescent="0.3">
      <c r="A63" s="3"/>
      <c r="B63" s="50"/>
      <c r="C63" s="4"/>
      <c r="D63" s="5"/>
      <c r="E63" s="5"/>
      <c r="F63" s="6"/>
      <c r="G63" s="6"/>
      <c r="H63" s="7"/>
      <c r="I63" s="8" t="str">
        <f t="shared" si="24"/>
        <v/>
      </c>
      <c r="J63" s="9" t="str">
        <f t="shared" si="25"/>
        <v/>
      </c>
      <c r="K63" s="10" t="str">
        <f t="shared" si="26"/>
        <v/>
      </c>
      <c r="L63" s="11" t="str">
        <f t="shared" si="27"/>
        <v/>
      </c>
      <c r="M63" s="12" t="str">
        <f t="shared" si="28"/>
        <v/>
      </c>
      <c r="N63" s="13" t="str">
        <f t="shared" si="29"/>
        <v/>
      </c>
      <c r="O63" s="14" t="str">
        <f t="shared" si="30"/>
        <v/>
      </c>
      <c r="P63" s="15"/>
      <c r="Q63" s="16" t="str">
        <f t="shared" si="40"/>
        <v/>
      </c>
      <c r="R63" s="16" t="str">
        <f t="shared" si="41"/>
        <v/>
      </c>
      <c r="S63" s="17" t="str">
        <f t="shared" si="42"/>
        <v/>
      </c>
      <c r="T63" s="17" t="str">
        <f t="shared" si="43"/>
        <v/>
      </c>
      <c r="U63" s="16" t="str">
        <f t="shared" si="31"/>
        <v/>
      </c>
      <c r="V63" s="17" t="str">
        <f t="shared" si="32"/>
        <v/>
      </c>
      <c r="W63" s="18">
        <f t="shared" si="44"/>
        <v>0</v>
      </c>
      <c r="X63" s="18">
        <f t="shared" si="45"/>
        <v>0</v>
      </c>
      <c r="Y63" s="18" t="str">
        <f t="shared" si="46"/>
        <v/>
      </c>
      <c r="Z63" s="19">
        <f>IF(W63=1,MAX(0,MIN(Settings!$B$6,(IFERROR(VLOOKUP(U62,'Bucket Status'!$A$4:$B$75,2,FALSE()),0)-(SUMIF($U$5:$U62,U62,$AK$5:$AK62)+SUMIF($V$5:$V62,U62,$AL$5:$AL62)+SUMIF($Y$5:$Y62,U62,$AA$5:$AA62)+SUMIF($AC$5:$AC62,U62,$AE$5:$AE62))))),IF(AB62&gt;0,AB62,0))</f>
        <v>0</v>
      </c>
      <c r="AA63" s="19">
        <f t="shared" si="33"/>
        <v>0</v>
      </c>
      <c r="AB63" s="19">
        <f t="shared" si="34"/>
        <v>0</v>
      </c>
      <c r="AC63" s="18" t="str">
        <f t="shared" si="47"/>
        <v/>
      </c>
      <c r="AD63" s="19">
        <f>IF(X63=1,MAX(0,MIN(Settings!$B$6-Z63,(IFERROR(VLOOKUP(V62,'Bucket Status'!$A$4:$B$75,2,FALSE()),0)-(SUMIF($U$5:$U62,V62,$AK$5:$AK62)+SUMIF($V$5:$V62,V62,$AL$5:$AL62)+SUMIF($Y$5:$Y62,V62,$AA$5:$AA62)+SUMIF($AC$5:$AC62,V62,$AE$5:$AE62))))),IF(AF62&gt;0,AF62,0))</f>
        <v>0</v>
      </c>
      <c r="AE63" s="19">
        <f t="shared" si="35"/>
        <v>0</v>
      </c>
      <c r="AF63" s="19">
        <f t="shared" si="36"/>
        <v>0</v>
      </c>
      <c r="AG63" s="20">
        <f>IFERROR(IF(C63="Y",Settings!$B$4+Settings!$B$5,0),0)</f>
        <v>0</v>
      </c>
      <c r="AH63" s="21" t="str">
        <f>IFERROR(IF(U63="","",IFERROR(VLOOKUP(U63,'Bucket Status'!$A$4:$B$75,2,FALSE()),0)-(SUMIF($U$5:$U62,U63,$AK$5:$AK62)+SUMIF($V$5:$V62,U63,$AL$5:$AL62)+SUMIF($Y$5:$Y62,U63,$AA$5:$AA62)+SUMIF($AC$5:$AC62,U63,$AE$5:$AE62))),"")</f>
        <v/>
      </c>
      <c r="AI63" s="22" t="str">
        <f>IFERROR(IF(V63="","",IFERROR(VLOOKUP(V63,'Bucket Status'!$A$4:$B$75,2,FALSE()),0)-(SUMIF($U$5:$U62,V63,$AK$5:$AK62)+SUMIF($V$5:$V62,V63,$AL$5:$AL62)+SUMIF($Y$5:$Y62,V63,$AA$5:$AA62)+SUMIF($AC$5:$AC62,V63,$AE$5:$AE62))),"")</f>
        <v/>
      </c>
      <c r="AJ63" s="23" t="str">
        <f t="shared" si="37"/>
        <v/>
      </c>
      <c r="AK63" s="21" t="str">
        <f t="shared" si="38"/>
        <v/>
      </c>
      <c r="AL63" s="22" t="str">
        <f t="shared" si="39"/>
        <v/>
      </c>
    </row>
    <row r="64" spans="1:38" ht="18" customHeight="1" x14ac:dyDescent="0.3">
      <c r="A64" s="3"/>
      <c r="B64" s="50"/>
      <c r="C64" s="4"/>
      <c r="D64" s="5"/>
      <c r="E64" s="5"/>
      <c r="F64" s="6"/>
      <c r="G64" s="6"/>
      <c r="H64" s="7"/>
      <c r="I64" s="8" t="str">
        <f t="shared" si="24"/>
        <v/>
      </c>
      <c r="J64" s="9" t="str">
        <f t="shared" si="25"/>
        <v/>
      </c>
      <c r="K64" s="10" t="str">
        <f t="shared" si="26"/>
        <v/>
      </c>
      <c r="L64" s="11" t="str">
        <f t="shared" si="27"/>
        <v/>
      </c>
      <c r="M64" s="12" t="str">
        <f t="shared" si="28"/>
        <v/>
      </c>
      <c r="N64" s="13" t="str">
        <f t="shared" si="29"/>
        <v/>
      </c>
      <c r="O64" s="14" t="str">
        <f t="shared" si="30"/>
        <v/>
      </c>
      <c r="P64" s="15"/>
      <c r="Q64" s="16" t="str">
        <f t="shared" si="40"/>
        <v/>
      </c>
      <c r="R64" s="16" t="str">
        <f t="shared" si="41"/>
        <v/>
      </c>
      <c r="S64" s="17" t="str">
        <f t="shared" si="42"/>
        <v/>
      </c>
      <c r="T64" s="17" t="str">
        <f t="shared" si="43"/>
        <v/>
      </c>
      <c r="U64" s="16" t="str">
        <f t="shared" si="31"/>
        <v/>
      </c>
      <c r="V64" s="17" t="str">
        <f t="shared" si="32"/>
        <v/>
      </c>
      <c r="W64" s="18">
        <f t="shared" si="44"/>
        <v>0</v>
      </c>
      <c r="X64" s="18">
        <f t="shared" si="45"/>
        <v>0</v>
      </c>
      <c r="Y64" s="18" t="str">
        <f t="shared" si="46"/>
        <v/>
      </c>
      <c r="Z64" s="19">
        <f>IF(W64=1,MAX(0,MIN(Settings!$B$6,(IFERROR(VLOOKUP(U63,'Bucket Status'!$A$4:$B$75,2,FALSE()),0)-(SUMIF($U$5:$U63,U63,$AK$5:$AK63)+SUMIF($V$5:$V63,U63,$AL$5:$AL63)+SUMIF($Y$5:$Y63,U63,$AA$5:$AA63)+SUMIF($AC$5:$AC63,U63,$AE$5:$AE63))))),IF(AB63&gt;0,AB63,0))</f>
        <v>0</v>
      </c>
      <c r="AA64" s="19">
        <f t="shared" si="33"/>
        <v>0</v>
      </c>
      <c r="AB64" s="19">
        <f t="shared" si="34"/>
        <v>0</v>
      </c>
      <c r="AC64" s="18" t="str">
        <f t="shared" si="47"/>
        <v/>
      </c>
      <c r="AD64" s="19">
        <f>IF(X64=1,MAX(0,MIN(Settings!$B$6-Z64,(IFERROR(VLOOKUP(V63,'Bucket Status'!$A$4:$B$75,2,FALSE()),0)-(SUMIF($U$5:$U63,V63,$AK$5:$AK63)+SUMIF($V$5:$V63,V63,$AL$5:$AL63)+SUMIF($Y$5:$Y63,V63,$AA$5:$AA63)+SUMIF($AC$5:$AC63,V63,$AE$5:$AE63))))),IF(AF63&gt;0,AF63,0))</f>
        <v>0</v>
      </c>
      <c r="AE64" s="19">
        <f t="shared" si="35"/>
        <v>0</v>
      </c>
      <c r="AF64" s="19">
        <f t="shared" si="36"/>
        <v>0</v>
      </c>
      <c r="AG64" s="20">
        <f>IFERROR(IF(C64="Y",Settings!$B$4+Settings!$B$5,0),0)</f>
        <v>0</v>
      </c>
      <c r="AH64" s="21" t="str">
        <f>IFERROR(IF(U64="","",IFERROR(VLOOKUP(U64,'Bucket Status'!$A$4:$B$75,2,FALSE()),0)-(SUMIF($U$5:$U63,U64,$AK$5:$AK63)+SUMIF($V$5:$V63,U64,$AL$5:$AL63)+SUMIF($Y$5:$Y63,U64,$AA$5:$AA63)+SUMIF($AC$5:$AC63,U64,$AE$5:$AE63))),"")</f>
        <v/>
      </c>
      <c r="AI64" s="22" t="str">
        <f>IFERROR(IF(V64="","",IFERROR(VLOOKUP(V64,'Bucket Status'!$A$4:$B$75,2,FALSE()),0)-(SUMIF($U$5:$U63,V64,$AK$5:$AK63)+SUMIF($V$5:$V63,V64,$AL$5:$AL63)+SUMIF($Y$5:$Y63,V64,$AA$5:$AA63)+SUMIF($AC$5:$AC63,V64,$AE$5:$AE63))),"")</f>
        <v/>
      </c>
      <c r="AJ64" s="23" t="str">
        <f t="shared" si="37"/>
        <v/>
      </c>
      <c r="AK64" s="21" t="str">
        <f t="shared" si="38"/>
        <v/>
      </c>
      <c r="AL64" s="22" t="str">
        <f t="shared" si="39"/>
        <v/>
      </c>
    </row>
    <row r="65" spans="1:38" ht="18" customHeight="1" x14ac:dyDescent="0.3">
      <c r="A65" s="3"/>
      <c r="B65" s="50"/>
      <c r="C65" s="4"/>
      <c r="D65" s="5"/>
      <c r="E65" s="5"/>
      <c r="F65" s="6"/>
      <c r="G65" s="6"/>
      <c r="H65" s="7"/>
      <c r="I65" s="8" t="str">
        <f t="shared" si="24"/>
        <v/>
      </c>
      <c r="J65" s="9" t="str">
        <f t="shared" si="25"/>
        <v/>
      </c>
      <c r="K65" s="10" t="str">
        <f t="shared" si="26"/>
        <v/>
      </c>
      <c r="L65" s="11" t="str">
        <f t="shared" si="27"/>
        <v/>
      </c>
      <c r="M65" s="12" t="str">
        <f t="shared" si="28"/>
        <v/>
      </c>
      <c r="N65" s="13" t="str">
        <f t="shared" si="29"/>
        <v/>
      </c>
      <c r="O65" s="14" t="str">
        <f t="shared" si="30"/>
        <v/>
      </c>
      <c r="P65" s="15"/>
      <c r="Q65" s="16" t="str">
        <f t="shared" si="40"/>
        <v/>
      </c>
      <c r="R65" s="16" t="str">
        <f t="shared" si="41"/>
        <v/>
      </c>
      <c r="S65" s="17" t="str">
        <f t="shared" si="42"/>
        <v/>
      </c>
      <c r="T65" s="17" t="str">
        <f t="shared" si="43"/>
        <v/>
      </c>
      <c r="U65" s="16" t="str">
        <f t="shared" si="31"/>
        <v/>
      </c>
      <c r="V65" s="17" t="str">
        <f t="shared" si="32"/>
        <v/>
      </c>
      <c r="W65" s="18">
        <f t="shared" si="44"/>
        <v>0</v>
      </c>
      <c r="X65" s="18">
        <f t="shared" si="45"/>
        <v>0</v>
      </c>
      <c r="Y65" s="18" t="str">
        <f t="shared" si="46"/>
        <v/>
      </c>
      <c r="Z65" s="19">
        <f>IF(W65=1,MAX(0,MIN(Settings!$B$6,(IFERROR(VLOOKUP(U64,'Bucket Status'!$A$4:$B$75,2,FALSE()),0)-(SUMIF($U$5:$U64,U64,$AK$5:$AK64)+SUMIF($V$5:$V64,U64,$AL$5:$AL64)+SUMIF($Y$5:$Y64,U64,$AA$5:$AA64)+SUMIF($AC$5:$AC64,U64,$AE$5:$AE64))))),IF(AB64&gt;0,AB64,0))</f>
        <v>0</v>
      </c>
      <c r="AA65" s="19">
        <f t="shared" si="33"/>
        <v>0</v>
      </c>
      <c r="AB65" s="19">
        <f t="shared" si="34"/>
        <v>0</v>
      </c>
      <c r="AC65" s="18" t="str">
        <f t="shared" si="47"/>
        <v/>
      </c>
      <c r="AD65" s="19">
        <f>IF(X65=1,MAX(0,MIN(Settings!$B$6-Z65,(IFERROR(VLOOKUP(V64,'Bucket Status'!$A$4:$B$75,2,FALSE()),0)-(SUMIF($U$5:$U64,V64,$AK$5:$AK64)+SUMIF($V$5:$V64,V64,$AL$5:$AL64)+SUMIF($Y$5:$Y64,V64,$AA$5:$AA64)+SUMIF($AC$5:$AC64,V64,$AE$5:$AE64))))),IF(AF64&gt;0,AF64,0))</f>
        <v>0</v>
      </c>
      <c r="AE65" s="19">
        <f t="shared" si="35"/>
        <v>0</v>
      </c>
      <c r="AF65" s="19">
        <f t="shared" si="36"/>
        <v>0</v>
      </c>
      <c r="AG65" s="20">
        <f>IFERROR(IF(C65="Y",Settings!$B$4+Settings!$B$5,0),0)</f>
        <v>0</v>
      </c>
      <c r="AH65" s="21" t="str">
        <f>IFERROR(IF(U65="","",IFERROR(VLOOKUP(U65,'Bucket Status'!$A$4:$B$75,2,FALSE()),0)-(SUMIF($U$5:$U64,U65,$AK$5:$AK64)+SUMIF($V$5:$V64,U65,$AL$5:$AL64)+SUMIF($Y$5:$Y64,U65,$AA$5:$AA64)+SUMIF($AC$5:$AC64,U65,$AE$5:$AE64))),"")</f>
        <v/>
      </c>
      <c r="AI65" s="22" t="str">
        <f>IFERROR(IF(V65="","",IFERROR(VLOOKUP(V65,'Bucket Status'!$A$4:$B$75,2,FALSE()),0)-(SUMIF($U$5:$U64,V65,$AK$5:$AK64)+SUMIF($V$5:$V64,V65,$AL$5:$AL64)+SUMIF($Y$5:$Y64,V65,$AA$5:$AA64)+SUMIF($AC$5:$AC64,V65,$AE$5:$AE64))),"")</f>
        <v/>
      </c>
      <c r="AJ65" s="23" t="str">
        <f t="shared" si="37"/>
        <v/>
      </c>
      <c r="AK65" s="21" t="str">
        <f t="shared" si="38"/>
        <v/>
      </c>
      <c r="AL65" s="22" t="str">
        <f t="shared" si="39"/>
        <v/>
      </c>
    </row>
    <row r="66" spans="1:38" ht="18" customHeight="1" x14ac:dyDescent="0.3">
      <c r="A66" s="3"/>
      <c r="B66" s="50"/>
      <c r="C66" s="4"/>
      <c r="D66" s="5"/>
      <c r="E66" s="5"/>
      <c r="F66" s="6"/>
      <c r="G66" s="6"/>
      <c r="H66" s="7"/>
      <c r="I66" s="8" t="str">
        <f t="shared" si="24"/>
        <v/>
      </c>
      <c r="J66" s="9" t="str">
        <f t="shared" si="25"/>
        <v/>
      </c>
      <c r="K66" s="10" t="str">
        <f t="shared" si="26"/>
        <v/>
      </c>
      <c r="L66" s="11" t="str">
        <f t="shared" si="27"/>
        <v/>
      </c>
      <c r="M66" s="12" t="str">
        <f t="shared" si="28"/>
        <v/>
      </c>
      <c r="N66" s="13" t="str">
        <f t="shared" si="29"/>
        <v/>
      </c>
      <c r="O66" s="14" t="str">
        <f t="shared" si="30"/>
        <v/>
      </c>
      <c r="P66" s="15"/>
      <c r="Q66" s="16" t="str">
        <f t="shared" si="40"/>
        <v/>
      </c>
      <c r="R66" s="16" t="str">
        <f t="shared" si="41"/>
        <v/>
      </c>
      <c r="S66" s="17" t="str">
        <f t="shared" si="42"/>
        <v/>
      </c>
      <c r="T66" s="17" t="str">
        <f t="shared" si="43"/>
        <v/>
      </c>
      <c r="U66" s="16" t="str">
        <f t="shared" si="31"/>
        <v/>
      </c>
      <c r="V66" s="17" t="str">
        <f t="shared" si="32"/>
        <v/>
      </c>
      <c r="W66" s="18">
        <f t="shared" si="44"/>
        <v>0</v>
      </c>
      <c r="X66" s="18">
        <f t="shared" si="45"/>
        <v>0</v>
      </c>
      <c r="Y66" s="18" t="str">
        <f t="shared" si="46"/>
        <v/>
      </c>
      <c r="Z66" s="19">
        <f>IF(W66=1,MAX(0,MIN(Settings!$B$6,(IFERROR(VLOOKUP(U65,'Bucket Status'!$A$4:$B$75,2,FALSE()),0)-(SUMIF($U$5:$U65,U65,$AK$5:$AK65)+SUMIF($V$5:$V65,U65,$AL$5:$AL65)+SUMIF($Y$5:$Y65,U65,$AA$5:$AA65)+SUMIF($AC$5:$AC65,U65,$AE$5:$AE65))))),IF(AB65&gt;0,AB65,0))</f>
        <v>0</v>
      </c>
      <c r="AA66" s="19">
        <f t="shared" si="33"/>
        <v>0</v>
      </c>
      <c r="AB66" s="19">
        <f t="shared" si="34"/>
        <v>0</v>
      </c>
      <c r="AC66" s="18" t="str">
        <f t="shared" si="47"/>
        <v/>
      </c>
      <c r="AD66" s="19">
        <f>IF(X66=1,MAX(0,MIN(Settings!$B$6-Z66,(IFERROR(VLOOKUP(V65,'Bucket Status'!$A$4:$B$75,2,FALSE()),0)-(SUMIF($U$5:$U65,V65,$AK$5:$AK65)+SUMIF($V$5:$V65,V65,$AL$5:$AL65)+SUMIF($Y$5:$Y65,V65,$AA$5:$AA65)+SUMIF($AC$5:$AC65,V65,$AE$5:$AE65))))),IF(AF65&gt;0,AF65,0))</f>
        <v>0</v>
      </c>
      <c r="AE66" s="19">
        <f t="shared" si="35"/>
        <v>0</v>
      </c>
      <c r="AF66" s="19">
        <f t="shared" si="36"/>
        <v>0</v>
      </c>
      <c r="AG66" s="20">
        <f>IFERROR(IF(C66="Y",Settings!$B$4+Settings!$B$5,0),0)</f>
        <v>0</v>
      </c>
      <c r="AH66" s="21" t="str">
        <f>IFERROR(IF(U66="","",IFERROR(VLOOKUP(U66,'Bucket Status'!$A$4:$B$75,2,FALSE()),0)-(SUMIF($U$5:$U65,U66,$AK$5:$AK65)+SUMIF($V$5:$V65,U66,$AL$5:$AL65)+SUMIF($Y$5:$Y65,U66,$AA$5:$AA65)+SUMIF($AC$5:$AC65,U66,$AE$5:$AE65))),"")</f>
        <v/>
      </c>
      <c r="AI66" s="22" t="str">
        <f>IFERROR(IF(V66="","",IFERROR(VLOOKUP(V66,'Bucket Status'!$A$4:$B$75,2,FALSE()),0)-(SUMIF($U$5:$U65,V66,$AK$5:$AK65)+SUMIF($V$5:$V65,V66,$AL$5:$AL65)+SUMIF($Y$5:$Y65,V66,$AA$5:$AA65)+SUMIF($AC$5:$AC65,V66,$AE$5:$AE65))),"")</f>
        <v/>
      </c>
      <c r="AJ66" s="23" t="str">
        <f t="shared" si="37"/>
        <v/>
      </c>
      <c r="AK66" s="21" t="str">
        <f t="shared" si="38"/>
        <v/>
      </c>
      <c r="AL66" s="22" t="str">
        <f t="shared" si="39"/>
        <v/>
      </c>
    </row>
    <row r="67" spans="1:38" ht="18" customHeight="1" x14ac:dyDescent="0.3">
      <c r="A67" s="3"/>
      <c r="B67" s="50"/>
      <c r="C67" s="4"/>
      <c r="D67" s="5"/>
      <c r="E67" s="5"/>
      <c r="F67" s="6"/>
      <c r="G67" s="6"/>
      <c r="H67" s="7"/>
      <c r="I67" s="8" t="str">
        <f t="shared" si="24"/>
        <v/>
      </c>
      <c r="J67" s="9" t="str">
        <f t="shared" si="25"/>
        <v/>
      </c>
      <c r="K67" s="10" t="str">
        <f t="shared" si="26"/>
        <v/>
      </c>
      <c r="L67" s="11" t="str">
        <f t="shared" si="27"/>
        <v/>
      </c>
      <c r="M67" s="12" t="str">
        <f t="shared" si="28"/>
        <v/>
      </c>
      <c r="N67" s="13" t="str">
        <f t="shared" si="29"/>
        <v/>
      </c>
      <c r="O67" s="14" t="str">
        <f t="shared" si="30"/>
        <v/>
      </c>
      <c r="P67" s="15"/>
      <c r="Q67" s="16" t="str">
        <f t="shared" si="40"/>
        <v/>
      </c>
      <c r="R67" s="16" t="str">
        <f t="shared" si="41"/>
        <v/>
      </c>
      <c r="S67" s="17" t="str">
        <f t="shared" si="42"/>
        <v/>
      </c>
      <c r="T67" s="17" t="str">
        <f t="shared" si="43"/>
        <v/>
      </c>
      <c r="U67" s="16" t="str">
        <f t="shared" si="31"/>
        <v/>
      </c>
      <c r="V67" s="17" t="str">
        <f t="shared" si="32"/>
        <v/>
      </c>
      <c r="W67" s="18">
        <f t="shared" si="44"/>
        <v>0</v>
      </c>
      <c r="X67" s="18">
        <f t="shared" si="45"/>
        <v>0</v>
      </c>
      <c r="Y67" s="18" t="str">
        <f t="shared" si="46"/>
        <v/>
      </c>
      <c r="Z67" s="19">
        <f>IF(W67=1,MAX(0,MIN(Settings!$B$6,(IFERROR(VLOOKUP(U66,'Bucket Status'!$A$4:$B$75,2,FALSE()),0)-(SUMIF($U$5:$U66,U66,$AK$5:$AK66)+SUMIF($V$5:$V66,U66,$AL$5:$AL66)+SUMIF($Y$5:$Y66,U66,$AA$5:$AA66)+SUMIF($AC$5:$AC66,U66,$AE$5:$AE66))))),IF(AB66&gt;0,AB66,0))</f>
        <v>0</v>
      </c>
      <c r="AA67" s="19">
        <f t="shared" si="33"/>
        <v>0</v>
      </c>
      <c r="AB67" s="19">
        <f t="shared" si="34"/>
        <v>0</v>
      </c>
      <c r="AC67" s="18" t="str">
        <f t="shared" si="47"/>
        <v/>
      </c>
      <c r="AD67" s="19">
        <f>IF(X67=1,MAX(0,MIN(Settings!$B$6-Z67,(IFERROR(VLOOKUP(V66,'Bucket Status'!$A$4:$B$75,2,FALSE()),0)-(SUMIF($U$5:$U66,V66,$AK$5:$AK66)+SUMIF($V$5:$V66,V66,$AL$5:$AL66)+SUMIF($Y$5:$Y66,V66,$AA$5:$AA66)+SUMIF($AC$5:$AC66,V66,$AE$5:$AE66))))),IF(AF66&gt;0,AF66,0))</f>
        <v>0</v>
      </c>
      <c r="AE67" s="19">
        <f t="shared" si="35"/>
        <v>0</v>
      </c>
      <c r="AF67" s="19">
        <f t="shared" si="36"/>
        <v>0</v>
      </c>
      <c r="AG67" s="20">
        <f>IFERROR(IF(C67="Y",Settings!$B$4+Settings!$B$5,0),0)</f>
        <v>0</v>
      </c>
      <c r="AH67" s="21" t="str">
        <f>IFERROR(IF(U67="","",IFERROR(VLOOKUP(U67,'Bucket Status'!$A$4:$B$75,2,FALSE()),0)-(SUMIF($U$5:$U66,U67,$AK$5:$AK66)+SUMIF($V$5:$V66,U67,$AL$5:$AL66)+SUMIF($Y$5:$Y66,U67,$AA$5:$AA66)+SUMIF($AC$5:$AC66,U67,$AE$5:$AE66))),"")</f>
        <v/>
      </c>
      <c r="AI67" s="22" t="str">
        <f>IFERROR(IF(V67="","",IFERROR(VLOOKUP(V67,'Bucket Status'!$A$4:$B$75,2,FALSE()),0)-(SUMIF($U$5:$U66,V67,$AK$5:$AK66)+SUMIF($V$5:$V66,V67,$AL$5:$AL66)+SUMIF($Y$5:$Y66,V67,$AA$5:$AA66)+SUMIF($AC$5:$AC66,V67,$AE$5:$AE66))),"")</f>
        <v/>
      </c>
      <c r="AJ67" s="23" t="str">
        <f t="shared" si="37"/>
        <v/>
      </c>
      <c r="AK67" s="21" t="str">
        <f t="shared" si="38"/>
        <v/>
      </c>
      <c r="AL67" s="22" t="str">
        <f t="shared" si="39"/>
        <v/>
      </c>
    </row>
    <row r="68" spans="1:38" ht="18" customHeight="1" x14ac:dyDescent="0.3">
      <c r="A68" s="3"/>
      <c r="B68" s="50"/>
      <c r="C68" s="4"/>
      <c r="D68" s="5"/>
      <c r="E68" s="5"/>
      <c r="F68" s="6"/>
      <c r="G68" s="6"/>
      <c r="H68" s="7"/>
      <c r="I68" s="8" t="str">
        <f t="shared" si="24"/>
        <v/>
      </c>
      <c r="J68" s="9" t="str">
        <f t="shared" si="25"/>
        <v/>
      </c>
      <c r="K68" s="10" t="str">
        <f t="shared" si="26"/>
        <v/>
      </c>
      <c r="L68" s="11" t="str">
        <f t="shared" si="27"/>
        <v/>
      </c>
      <c r="M68" s="12" t="str">
        <f t="shared" si="28"/>
        <v/>
      </c>
      <c r="N68" s="13" t="str">
        <f t="shared" si="29"/>
        <v/>
      </c>
      <c r="O68" s="14" t="str">
        <f t="shared" si="30"/>
        <v/>
      </c>
      <c r="P68" s="15"/>
      <c r="Q68" s="16" t="str">
        <f t="shared" si="40"/>
        <v/>
      </c>
      <c r="R68" s="16" t="str">
        <f t="shared" si="41"/>
        <v/>
      </c>
      <c r="S68" s="17" t="str">
        <f t="shared" si="42"/>
        <v/>
      </c>
      <c r="T68" s="17" t="str">
        <f t="shared" si="43"/>
        <v/>
      </c>
      <c r="U68" s="16" t="str">
        <f t="shared" si="31"/>
        <v/>
      </c>
      <c r="V68" s="17" t="str">
        <f t="shared" si="32"/>
        <v/>
      </c>
      <c r="W68" s="18">
        <f t="shared" si="44"/>
        <v>0</v>
      </c>
      <c r="X68" s="18">
        <f t="shared" si="45"/>
        <v>0</v>
      </c>
      <c r="Y68" s="18" t="str">
        <f t="shared" si="46"/>
        <v/>
      </c>
      <c r="Z68" s="19">
        <f>IF(W68=1,MAX(0,MIN(Settings!$B$6,(IFERROR(VLOOKUP(U67,'Bucket Status'!$A$4:$B$75,2,FALSE()),0)-(SUMIF($U$5:$U67,U67,$AK$5:$AK67)+SUMIF($V$5:$V67,U67,$AL$5:$AL67)+SUMIF($Y$5:$Y67,U67,$AA$5:$AA67)+SUMIF($AC$5:$AC67,U67,$AE$5:$AE67))))),IF(AB67&gt;0,AB67,0))</f>
        <v>0</v>
      </c>
      <c r="AA68" s="19">
        <f t="shared" si="33"/>
        <v>0</v>
      </c>
      <c r="AB68" s="19">
        <f t="shared" si="34"/>
        <v>0</v>
      </c>
      <c r="AC68" s="18" t="str">
        <f t="shared" si="47"/>
        <v/>
      </c>
      <c r="AD68" s="19">
        <f>IF(X68=1,MAX(0,MIN(Settings!$B$6-Z68,(IFERROR(VLOOKUP(V67,'Bucket Status'!$A$4:$B$75,2,FALSE()),0)-(SUMIF($U$5:$U67,V67,$AK$5:$AK67)+SUMIF($V$5:$V67,V67,$AL$5:$AL67)+SUMIF($Y$5:$Y67,V67,$AA$5:$AA67)+SUMIF($AC$5:$AC67,V67,$AE$5:$AE67))))),IF(AF67&gt;0,AF67,0))</f>
        <v>0</v>
      </c>
      <c r="AE68" s="19">
        <f t="shared" si="35"/>
        <v>0</v>
      </c>
      <c r="AF68" s="19">
        <f t="shared" si="36"/>
        <v>0</v>
      </c>
      <c r="AG68" s="20">
        <f>IFERROR(IF(C68="Y",Settings!$B$4+Settings!$B$5,0),0)</f>
        <v>0</v>
      </c>
      <c r="AH68" s="21" t="str">
        <f>IFERROR(IF(U68="","",IFERROR(VLOOKUP(U68,'Bucket Status'!$A$4:$B$75,2,FALSE()),0)-(SUMIF($U$5:$U67,U68,$AK$5:$AK67)+SUMIF($V$5:$V67,U68,$AL$5:$AL67)+SUMIF($Y$5:$Y67,U68,$AA$5:$AA67)+SUMIF($AC$5:$AC67,U68,$AE$5:$AE67))),"")</f>
        <v/>
      </c>
      <c r="AI68" s="22" t="str">
        <f>IFERROR(IF(V68="","",IFERROR(VLOOKUP(V68,'Bucket Status'!$A$4:$B$75,2,FALSE()),0)-(SUMIF($U$5:$U67,V68,$AK$5:$AK67)+SUMIF($V$5:$V67,V68,$AL$5:$AL67)+SUMIF($Y$5:$Y67,V68,$AA$5:$AA67)+SUMIF($AC$5:$AC67,V68,$AE$5:$AE67))),"")</f>
        <v/>
      </c>
      <c r="AJ68" s="23" t="str">
        <f t="shared" si="37"/>
        <v/>
      </c>
      <c r="AK68" s="21" t="str">
        <f t="shared" si="38"/>
        <v/>
      </c>
      <c r="AL68" s="22" t="str">
        <f t="shared" si="39"/>
        <v/>
      </c>
    </row>
    <row r="69" spans="1:38" ht="18" customHeight="1" x14ac:dyDescent="0.3">
      <c r="A69" s="3"/>
      <c r="B69" s="50"/>
      <c r="C69" s="4"/>
      <c r="D69" s="5"/>
      <c r="E69" s="5"/>
      <c r="F69" s="6"/>
      <c r="G69" s="6"/>
      <c r="H69" s="7"/>
      <c r="I69" s="8" t="str">
        <f t="shared" ref="I69:I100" si="48">IFERROR(IF(H69="","",H69+AG69),"")</f>
        <v/>
      </c>
      <c r="J69" s="9" t="str">
        <f t="shared" ref="J69:J100" si="49">IFERROR(IF(OR(I69="",AJ69=""),"",AJ69-(AK69+AL69)),"")</f>
        <v/>
      </c>
      <c r="K69" s="10" t="str">
        <f t="shared" ref="K69:K104" si="50">IF(AND(AA69&gt;0,AE69&gt;0),TEXT(AA69,"0.000")&amp;" kg "&amp;Y69&amp;" (funnel)"&amp;"  +  "&amp;TEXT(AE69,"0.000")&amp;" kg "&amp;AC69&amp;" (funnel)",IF(AA69&gt;0,TEXT(AA69,"0.000")&amp;" kg "&amp;Y69&amp;" (funnel)",IF(AE69&gt;0,TEXT(AE69,"0.000")&amp;" kg "&amp;AC69&amp;" (funnel)","")))</f>
        <v/>
      </c>
      <c r="L69" s="11" t="str">
        <f t="shared" ref="L69:L104" si="51">IF(OR(AK69="",AK69=0,U69=""),"",TEXT(AK69,"0.000")&amp;" kg "&amp;U69)</f>
        <v/>
      </c>
      <c r="M69" s="12" t="str">
        <f t="shared" ref="M69:M104" si="52">IF(OR(AL69="",AL69=0,V69=""),"",TEXT(AL69,"0.000")&amp;" kg "&amp;V69)</f>
        <v/>
      </c>
      <c r="N69" s="13" t="str">
        <f t="shared" ref="N69:N104" si="53">IF(OR(I69="",U69=""),"",TEXT(MAX(0,(AH69-AK69-IF(Y69=U69,AA69,0)-IF(AC69=U69,AE69,0))),"0.000")&amp;" kg "&amp;U69)</f>
        <v/>
      </c>
      <c r="O69" s="14" t="str">
        <f t="shared" ref="O69:O104" si="54">IF(OR(I69="",V69=""),"",TEXT(MAX(0,(AI69-AL69-IF(Y69=V69,AA69,0)-IF(AC69=V69,AE69,0))),"0.000")&amp;" kg "&amp;V69)</f>
        <v/>
      </c>
      <c r="P69" s="15"/>
      <c r="Q69" s="16" t="str">
        <f t="shared" si="40"/>
        <v/>
      </c>
      <c r="R69" s="16" t="str">
        <f t="shared" si="41"/>
        <v/>
      </c>
      <c r="S69" s="17" t="str">
        <f t="shared" si="42"/>
        <v/>
      </c>
      <c r="T69" s="17" t="str">
        <f t="shared" si="43"/>
        <v/>
      </c>
      <c r="U69" s="16" t="str">
        <f t="shared" ref="U69:U104" si="55">IF(OR(Q69="",R69=""),"",Q69&amp;R69&amp;"-")</f>
        <v/>
      </c>
      <c r="V69" s="17" t="str">
        <f t="shared" ref="V69:V104" si="56">IF(OR(S69="",T69=""),"",S69&amp;T69&amp;"-")</f>
        <v/>
      </c>
      <c r="W69" s="18">
        <f t="shared" si="44"/>
        <v>0</v>
      </c>
      <c r="X69" s="18">
        <f t="shared" si="45"/>
        <v>0</v>
      </c>
      <c r="Y69" s="18" t="str">
        <f t="shared" si="46"/>
        <v/>
      </c>
      <c r="Z69" s="19">
        <f>IF(W69=1,MAX(0,MIN(Settings!$B$6,(IFERROR(VLOOKUP(U68,'Bucket Status'!$A$4:$B$75,2,FALSE()),0)-(SUMIF($U$5:$U68,U68,$AK$5:$AK68)+SUMIF($V$5:$V68,U68,$AL$5:$AL68)+SUMIF($Y$5:$Y68,U68,$AA$5:$AA68)+SUMIF($AC$5:$AC68,U68,$AE$5:$AE68))))),IF(AB68&gt;0,AB68,0))</f>
        <v>0</v>
      </c>
      <c r="AA69" s="19">
        <f t="shared" ref="AA69:AA100" si="57">IFERROR(IF(I69="",0,MAX(0,MIN(Z69,I69))),0)</f>
        <v>0</v>
      </c>
      <c r="AB69" s="19">
        <f t="shared" ref="AB69:AB100" si="58">IFERROR(Z69-AA69,0)</f>
        <v>0</v>
      </c>
      <c r="AC69" s="18" t="str">
        <f t="shared" si="47"/>
        <v/>
      </c>
      <c r="AD69" s="19">
        <f>IF(X69=1,MAX(0,MIN(Settings!$B$6-Z69,(IFERROR(VLOOKUP(V68,'Bucket Status'!$A$4:$B$75,2,FALSE()),0)-(SUMIF($U$5:$U68,V68,$AK$5:$AK68)+SUMIF($V$5:$V68,V68,$AL$5:$AL68)+SUMIF($Y$5:$Y68,V68,$AA$5:$AA68)+SUMIF($AC$5:$AC68,V68,$AE$5:$AE68))))),IF(AF68&gt;0,AF68,0))</f>
        <v>0</v>
      </c>
      <c r="AE69" s="19">
        <f t="shared" ref="AE69:AE100" si="59">IFERROR(IF(I69="",0,MAX(0,MIN(AD69,I69-AA69))),0)</f>
        <v>0</v>
      </c>
      <c r="AF69" s="19">
        <f t="shared" ref="AF69:AF100" si="60">IFERROR(AD69-AE69,0)</f>
        <v>0</v>
      </c>
      <c r="AG69" s="20">
        <f>IFERROR(IF(C69="Y",Settings!$B$4+Settings!$B$5,0),0)</f>
        <v>0</v>
      </c>
      <c r="AH69" s="21" t="str">
        <f>IFERROR(IF(U69="","",IFERROR(VLOOKUP(U69,'Bucket Status'!$A$4:$B$75,2,FALSE()),0)-(SUMIF($U$5:$U68,U69,$AK$5:$AK68)+SUMIF($V$5:$V68,U69,$AL$5:$AL68)+SUMIF($Y$5:$Y68,U69,$AA$5:$AA68)+SUMIF($AC$5:$AC68,U69,$AE$5:$AE68))),"")</f>
        <v/>
      </c>
      <c r="AI69" s="22" t="str">
        <f>IFERROR(IF(V69="","",IFERROR(VLOOKUP(V69,'Bucket Status'!$A$4:$B$75,2,FALSE()),0)-(SUMIF($U$5:$U68,V69,$AK$5:$AK68)+SUMIF($V$5:$V68,V69,$AL$5:$AL68)+SUMIF($Y$5:$Y68,V69,$AA$5:$AA68)+SUMIF($AC$5:$AC68,V69,$AE$5:$AE68))),"")</f>
        <v/>
      </c>
      <c r="AJ69" s="23" t="str">
        <f t="shared" ref="AJ69:AJ100" si="61">IFERROR(IF(AH69="","",AH69+IF(AI69="",0,AI69)),"")</f>
        <v/>
      </c>
      <c r="AK69" s="21" t="str">
        <f t="shared" ref="AK69:AK104" si="62">IFERROR(IF(I69="","",IF(U69="",0,IF(V69="",(I69-AA69-AE69),MIN(AH69,(I69-AA69-AE69))))),"")</f>
        <v/>
      </c>
      <c r="AL69" s="22" t="str">
        <f t="shared" ref="AL69:AL100" si="63">IFERROR(IF(I69="","",IF(V69="",0,MAX(0,(I69-AA69-AE69)-AK69))),"")</f>
        <v/>
      </c>
    </row>
    <row r="70" spans="1:38" ht="18" customHeight="1" x14ac:dyDescent="0.3">
      <c r="A70" s="3"/>
      <c r="B70" s="50"/>
      <c r="C70" s="4"/>
      <c r="D70" s="5"/>
      <c r="E70" s="5"/>
      <c r="F70" s="6"/>
      <c r="G70" s="6"/>
      <c r="H70" s="7"/>
      <c r="I70" s="8" t="str">
        <f t="shared" si="48"/>
        <v/>
      </c>
      <c r="J70" s="9" t="str">
        <f t="shared" si="49"/>
        <v/>
      </c>
      <c r="K70" s="10" t="str">
        <f t="shared" si="50"/>
        <v/>
      </c>
      <c r="L70" s="11" t="str">
        <f t="shared" si="51"/>
        <v/>
      </c>
      <c r="M70" s="12" t="str">
        <f t="shared" si="52"/>
        <v/>
      </c>
      <c r="N70" s="13" t="str">
        <f t="shared" si="53"/>
        <v/>
      </c>
      <c r="O70" s="14" t="str">
        <f t="shared" si="54"/>
        <v/>
      </c>
      <c r="P70" s="15"/>
      <c r="Q70" s="16" t="str">
        <f t="shared" ref="Q70:Q104" si="64">IF($A70="","",IF(D70="",Q69,D70))</f>
        <v/>
      </c>
      <c r="R70" s="16" t="str">
        <f t="shared" ref="R70:R104" si="65">IF($A70="","",IF(E70="",R69,E70))</f>
        <v/>
      </c>
      <c r="S70" s="17" t="str">
        <f t="shared" ref="S70:S104" si="66">IF($A70="","",IF(F70="",S69,F70))</f>
        <v/>
      </c>
      <c r="T70" s="17" t="str">
        <f t="shared" ref="T70:T104" si="67">IF($A70="","",IF(G70="",T69,G70))</f>
        <v/>
      </c>
      <c r="U70" s="16" t="str">
        <f t="shared" si="55"/>
        <v/>
      </c>
      <c r="V70" s="17" t="str">
        <f t="shared" si="56"/>
        <v/>
      </c>
      <c r="W70" s="18">
        <f t="shared" ref="W70:W104" si="68">IF(AND(U70&lt;&gt;"",U69&lt;&gt;"",U70&lt;&gt;U69),1,0)</f>
        <v>0</v>
      </c>
      <c r="X70" s="18">
        <f t="shared" ref="X70:X104" si="69">IF(AND(V70&lt;&gt;"",V69&lt;&gt;"",V70&lt;&gt;V69),1,0)</f>
        <v>0</v>
      </c>
      <c r="Y70" s="18" t="str">
        <f t="shared" ref="Y70:Y104" si="70">IF(W70=1,U69,IF(AB69&gt;0,Y69,""))</f>
        <v/>
      </c>
      <c r="Z70" s="19">
        <f>IF(W70=1,MAX(0,MIN(Settings!$B$6,(IFERROR(VLOOKUP(U69,'Bucket Status'!$A$4:$B$75,2,FALSE()),0)-(SUMIF($U$5:$U69,U69,$AK$5:$AK69)+SUMIF($V$5:$V69,U69,$AL$5:$AL69)+SUMIF($Y$5:$Y69,U69,$AA$5:$AA69)+SUMIF($AC$5:$AC69,U69,$AE$5:$AE69))))),IF(AB69&gt;0,AB69,0))</f>
        <v>0</v>
      </c>
      <c r="AA70" s="19">
        <f t="shared" si="57"/>
        <v>0</v>
      </c>
      <c r="AB70" s="19">
        <f t="shared" si="58"/>
        <v>0</v>
      </c>
      <c r="AC70" s="18" t="str">
        <f t="shared" ref="AC70:AC104" si="71">IF(X70=1,V69,IF(AF69&gt;0,AC69,""))</f>
        <v/>
      </c>
      <c r="AD70" s="19">
        <f>IF(X70=1,MAX(0,MIN(Settings!$B$6-Z70,(IFERROR(VLOOKUP(V69,'Bucket Status'!$A$4:$B$75,2,FALSE()),0)-(SUMIF($U$5:$U69,V69,$AK$5:$AK69)+SUMIF($V$5:$V69,V69,$AL$5:$AL69)+SUMIF($Y$5:$Y69,V69,$AA$5:$AA69)+SUMIF($AC$5:$AC69,V69,$AE$5:$AE69))))),IF(AF69&gt;0,AF69,0))</f>
        <v>0</v>
      </c>
      <c r="AE70" s="19">
        <f t="shared" si="59"/>
        <v>0</v>
      </c>
      <c r="AF70" s="19">
        <f t="shared" si="60"/>
        <v>0</v>
      </c>
      <c r="AG70" s="20">
        <f>IFERROR(IF(C70="Y",Settings!$B$4+Settings!$B$5,0),0)</f>
        <v>0</v>
      </c>
      <c r="AH70" s="21" t="str">
        <f>IFERROR(IF(U70="","",IFERROR(VLOOKUP(U70,'Bucket Status'!$A$4:$B$75,2,FALSE()),0)-(SUMIF($U$5:$U69,U70,$AK$5:$AK69)+SUMIF($V$5:$V69,U70,$AL$5:$AL69)+SUMIF($Y$5:$Y69,U70,$AA$5:$AA69)+SUMIF($AC$5:$AC69,U70,$AE$5:$AE69))),"")</f>
        <v/>
      </c>
      <c r="AI70" s="22" t="str">
        <f>IFERROR(IF(V70="","",IFERROR(VLOOKUP(V70,'Bucket Status'!$A$4:$B$75,2,FALSE()),0)-(SUMIF($U$5:$U69,V70,$AK$5:$AK69)+SUMIF($V$5:$V69,V70,$AL$5:$AL69)+SUMIF($Y$5:$Y69,V70,$AA$5:$AA69)+SUMIF($AC$5:$AC69,V70,$AE$5:$AE69))),"")</f>
        <v/>
      </c>
      <c r="AJ70" s="23" t="str">
        <f t="shared" si="61"/>
        <v/>
      </c>
      <c r="AK70" s="21" t="str">
        <f t="shared" si="62"/>
        <v/>
      </c>
      <c r="AL70" s="22" t="str">
        <f t="shared" si="63"/>
        <v/>
      </c>
    </row>
    <row r="71" spans="1:38" ht="18" customHeight="1" x14ac:dyDescent="0.3">
      <c r="A71" s="3"/>
      <c r="B71" s="50"/>
      <c r="C71" s="4"/>
      <c r="D71" s="5"/>
      <c r="E71" s="5"/>
      <c r="F71" s="6"/>
      <c r="G71" s="6"/>
      <c r="H71" s="7"/>
      <c r="I71" s="8" t="str">
        <f t="shared" si="48"/>
        <v/>
      </c>
      <c r="J71" s="9" t="str">
        <f t="shared" si="49"/>
        <v/>
      </c>
      <c r="K71" s="10" t="str">
        <f t="shared" si="50"/>
        <v/>
      </c>
      <c r="L71" s="11" t="str">
        <f t="shared" si="51"/>
        <v/>
      </c>
      <c r="M71" s="12" t="str">
        <f t="shared" si="52"/>
        <v/>
      </c>
      <c r="N71" s="13" t="str">
        <f t="shared" si="53"/>
        <v/>
      </c>
      <c r="O71" s="14" t="str">
        <f t="shared" si="54"/>
        <v/>
      </c>
      <c r="P71" s="15"/>
      <c r="Q71" s="16" t="str">
        <f t="shared" si="64"/>
        <v/>
      </c>
      <c r="R71" s="16" t="str">
        <f t="shared" si="65"/>
        <v/>
      </c>
      <c r="S71" s="17" t="str">
        <f t="shared" si="66"/>
        <v/>
      </c>
      <c r="T71" s="17" t="str">
        <f t="shared" si="67"/>
        <v/>
      </c>
      <c r="U71" s="16" t="str">
        <f t="shared" si="55"/>
        <v/>
      </c>
      <c r="V71" s="17" t="str">
        <f t="shared" si="56"/>
        <v/>
      </c>
      <c r="W71" s="18">
        <f t="shared" si="68"/>
        <v>0</v>
      </c>
      <c r="X71" s="18">
        <f t="shared" si="69"/>
        <v>0</v>
      </c>
      <c r="Y71" s="18" t="str">
        <f t="shared" si="70"/>
        <v/>
      </c>
      <c r="Z71" s="19">
        <f>IF(W71=1,MAX(0,MIN(Settings!$B$6,(IFERROR(VLOOKUP(U70,'Bucket Status'!$A$4:$B$75,2,FALSE()),0)-(SUMIF($U$5:$U70,U70,$AK$5:$AK70)+SUMIF($V$5:$V70,U70,$AL$5:$AL70)+SUMIF($Y$5:$Y70,U70,$AA$5:$AA70)+SUMIF($AC$5:$AC70,U70,$AE$5:$AE70))))),IF(AB70&gt;0,AB70,0))</f>
        <v>0</v>
      </c>
      <c r="AA71" s="19">
        <f t="shared" si="57"/>
        <v>0</v>
      </c>
      <c r="AB71" s="19">
        <f t="shared" si="58"/>
        <v>0</v>
      </c>
      <c r="AC71" s="18" t="str">
        <f t="shared" si="71"/>
        <v/>
      </c>
      <c r="AD71" s="19">
        <f>IF(X71=1,MAX(0,MIN(Settings!$B$6-Z71,(IFERROR(VLOOKUP(V70,'Bucket Status'!$A$4:$B$75,2,FALSE()),0)-(SUMIF($U$5:$U70,V70,$AK$5:$AK70)+SUMIF($V$5:$V70,V70,$AL$5:$AL70)+SUMIF($Y$5:$Y70,V70,$AA$5:$AA70)+SUMIF($AC$5:$AC70,V70,$AE$5:$AE70))))),IF(AF70&gt;0,AF70,0))</f>
        <v>0</v>
      </c>
      <c r="AE71" s="19">
        <f t="shared" si="59"/>
        <v>0</v>
      </c>
      <c r="AF71" s="19">
        <f t="shared" si="60"/>
        <v>0</v>
      </c>
      <c r="AG71" s="20">
        <f>IFERROR(IF(C71="Y",Settings!$B$4+Settings!$B$5,0),0)</f>
        <v>0</v>
      </c>
      <c r="AH71" s="21" t="str">
        <f>IFERROR(IF(U71="","",IFERROR(VLOOKUP(U71,'Bucket Status'!$A$4:$B$75,2,FALSE()),0)-(SUMIF($U$5:$U70,U71,$AK$5:$AK70)+SUMIF($V$5:$V70,U71,$AL$5:$AL70)+SUMIF($Y$5:$Y70,U71,$AA$5:$AA70)+SUMIF($AC$5:$AC70,U71,$AE$5:$AE70))),"")</f>
        <v/>
      </c>
      <c r="AI71" s="22" t="str">
        <f>IFERROR(IF(V71="","",IFERROR(VLOOKUP(V71,'Bucket Status'!$A$4:$B$75,2,FALSE()),0)-(SUMIF($U$5:$U70,V71,$AK$5:$AK70)+SUMIF($V$5:$V70,V71,$AL$5:$AL70)+SUMIF($Y$5:$Y70,V71,$AA$5:$AA70)+SUMIF($AC$5:$AC70,V71,$AE$5:$AE70))),"")</f>
        <v/>
      </c>
      <c r="AJ71" s="23" t="str">
        <f t="shared" si="61"/>
        <v/>
      </c>
      <c r="AK71" s="21" t="str">
        <f t="shared" si="62"/>
        <v/>
      </c>
      <c r="AL71" s="22" t="str">
        <f t="shared" si="63"/>
        <v/>
      </c>
    </row>
    <row r="72" spans="1:38" ht="18" customHeight="1" x14ac:dyDescent="0.3">
      <c r="A72" s="3"/>
      <c r="B72" s="50"/>
      <c r="C72" s="4"/>
      <c r="D72" s="5"/>
      <c r="E72" s="5"/>
      <c r="F72" s="6"/>
      <c r="G72" s="6"/>
      <c r="H72" s="7"/>
      <c r="I72" s="8" t="str">
        <f t="shared" si="48"/>
        <v/>
      </c>
      <c r="J72" s="9" t="str">
        <f t="shared" si="49"/>
        <v/>
      </c>
      <c r="K72" s="10" t="str">
        <f t="shared" si="50"/>
        <v/>
      </c>
      <c r="L72" s="11" t="str">
        <f t="shared" si="51"/>
        <v/>
      </c>
      <c r="M72" s="12" t="str">
        <f t="shared" si="52"/>
        <v/>
      </c>
      <c r="N72" s="13" t="str">
        <f t="shared" si="53"/>
        <v/>
      </c>
      <c r="O72" s="14" t="str">
        <f t="shared" si="54"/>
        <v/>
      </c>
      <c r="P72" s="15"/>
      <c r="Q72" s="16" t="str">
        <f t="shared" si="64"/>
        <v/>
      </c>
      <c r="R72" s="16" t="str">
        <f t="shared" si="65"/>
        <v/>
      </c>
      <c r="S72" s="17" t="str">
        <f t="shared" si="66"/>
        <v/>
      </c>
      <c r="T72" s="17" t="str">
        <f t="shared" si="67"/>
        <v/>
      </c>
      <c r="U72" s="16" t="str">
        <f t="shared" si="55"/>
        <v/>
      </c>
      <c r="V72" s="17" t="str">
        <f t="shared" si="56"/>
        <v/>
      </c>
      <c r="W72" s="18">
        <f t="shared" si="68"/>
        <v>0</v>
      </c>
      <c r="X72" s="18">
        <f t="shared" si="69"/>
        <v>0</v>
      </c>
      <c r="Y72" s="18" t="str">
        <f t="shared" si="70"/>
        <v/>
      </c>
      <c r="Z72" s="19">
        <f>IF(W72=1,MAX(0,MIN(Settings!$B$6,(IFERROR(VLOOKUP(U71,'Bucket Status'!$A$4:$B$75,2,FALSE()),0)-(SUMIF($U$5:$U71,U71,$AK$5:$AK71)+SUMIF($V$5:$V71,U71,$AL$5:$AL71)+SUMIF($Y$5:$Y71,U71,$AA$5:$AA71)+SUMIF($AC$5:$AC71,U71,$AE$5:$AE71))))),IF(AB71&gt;0,AB71,0))</f>
        <v>0</v>
      </c>
      <c r="AA72" s="19">
        <f t="shared" si="57"/>
        <v>0</v>
      </c>
      <c r="AB72" s="19">
        <f t="shared" si="58"/>
        <v>0</v>
      </c>
      <c r="AC72" s="18" t="str">
        <f t="shared" si="71"/>
        <v/>
      </c>
      <c r="AD72" s="19">
        <f>IF(X72=1,MAX(0,MIN(Settings!$B$6-Z72,(IFERROR(VLOOKUP(V71,'Bucket Status'!$A$4:$B$75,2,FALSE()),0)-(SUMIF($U$5:$U71,V71,$AK$5:$AK71)+SUMIF($V$5:$V71,V71,$AL$5:$AL71)+SUMIF($Y$5:$Y71,V71,$AA$5:$AA71)+SUMIF($AC$5:$AC71,V71,$AE$5:$AE71))))),IF(AF71&gt;0,AF71,0))</f>
        <v>0</v>
      </c>
      <c r="AE72" s="19">
        <f t="shared" si="59"/>
        <v>0</v>
      </c>
      <c r="AF72" s="19">
        <f t="shared" si="60"/>
        <v>0</v>
      </c>
      <c r="AG72" s="20">
        <f>IFERROR(IF(C72="Y",Settings!$B$4+Settings!$B$5,0),0)</f>
        <v>0</v>
      </c>
      <c r="AH72" s="21" t="str">
        <f>IFERROR(IF(U72="","",IFERROR(VLOOKUP(U72,'Bucket Status'!$A$4:$B$75,2,FALSE()),0)-(SUMIF($U$5:$U71,U72,$AK$5:$AK71)+SUMIF($V$5:$V71,U72,$AL$5:$AL71)+SUMIF($Y$5:$Y71,U72,$AA$5:$AA71)+SUMIF($AC$5:$AC71,U72,$AE$5:$AE71))),"")</f>
        <v/>
      </c>
      <c r="AI72" s="22" t="str">
        <f>IFERROR(IF(V72="","",IFERROR(VLOOKUP(V72,'Bucket Status'!$A$4:$B$75,2,FALSE()),0)-(SUMIF($U$5:$U71,V72,$AK$5:$AK71)+SUMIF($V$5:$V71,V72,$AL$5:$AL71)+SUMIF($Y$5:$Y71,V72,$AA$5:$AA71)+SUMIF($AC$5:$AC71,V72,$AE$5:$AE71))),"")</f>
        <v/>
      </c>
      <c r="AJ72" s="23" t="str">
        <f t="shared" si="61"/>
        <v/>
      </c>
      <c r="AK72" s="21" t="str">
        <f t="shared" si="62"/>
        <v/>
      </c>
      <c r="AL72" s="22" t="str">
        <f t="shared" si="63"/>
        <v/>
      </c>
    </row>
    <row r="73" spans="1:38" ht="18" customHeight="1" x14ac:dyDescent="0.3">
      <c r="A73" s="3"/>
      <c r="B73" s="50"/>
      <c r="C73" s="4"/>
      <c r="D73" s="5"/>
      <c r="E73" s="5"/>
      <c r="F73" s="6"/>
      <c r="G73" s="6"/>
      <c r="H73" s="7"/>
      <c r="I73" s="8" t="str">
        <f t="shared" si="48"/>
        <v/>
      </c>
      <c r="J73" s="9" t="str">
        <f t="shared" si="49"/>
        <v/>
      </c>
      <c r="K73" s="10" t="str">
        <f t="shared" si="50"/>
        <v/>
      </c>
      <c r="L73" s="11" t="str">
        <f t="shared" si="51"/>
        <v/>
      </c>
      <c r="M73" s="12" t="str">
        <f t="shared" si="52"/>
        <v/>
      </c>
      <c r="N73" s="13" t="str">
        <f t="shared" si="53"/>
        <v/>
      </c>
      <c r="O73" s="14" t="str">
        <f t="shared" si="54"/>
        <v/>
      </c>
      <c r="P73" s="15"/>
      <c r="Q73" s="16" t="str">
        <f t="shared" si="64"/>
        <v/>
      </c>
      <c r="R73" s="16" t="str">
        <f t="shared" si="65"/>
        <v/>
      </c>
      <c r="S73" s="17" t="str">
        <f t="shared" si="66"/>
        <v/>
      </c>
      <c r="T73" s="17" t="str">
        <f t="shared" si="67"/>
        <v/>
      </c>
      <c r="U73" s="16" t="str">
        <f t="shared" si="55"/>
        <v/>
      </c>
      <c r="V73" s="17" t="str">
        <f t="shared" si="56"/>
        <v/>
      </c>
      <c r="W73" s="18">
        <f t="shared" si="68"/>
        <v>0</v>
      </c>
      <c r="X73" s="18">
        <f t="shared" si="69"/>
        <v>0</v>
      </c>
      <c r="Y73" s="18" t="str">
        <f t="shared" si="70"/>
        <v/>
      </c>
      <c r="Z73" s="19">
        <f>IF(W73=1,MAX(0,MIN(Settings!$B$6,(IFERROR(VLOOKUP(U72,'Bucket Status'!$A$4:$B$75,2,FALSE()),0)-(SUMIF($U$5:$U72,U72,$AK$5:$AK72)+SUMIF($V$5:$V72,U72,$AL$5:$AL72)+SUMIF($Y$5:$Y72,U72,$AA$5:$AA72)+SUMIF($AC$5:$AC72,U72,$AE$5:$AE72))))),IF(AB72&gt;0,AB72,0))</f>
        <v>0</v>
      </c>
      <c r="AA73" s="19">
        <f t="shared" si="57"/>
        <v>0</v>
      </c>
      <c r="AB73" s="19">
        <f t="shared" si="58"/>
        <v>0</v>
      </c>
      <c r="AC73" s="18" t="str">
        <f t="shared" si="71"/>
        <v/>
      </c>
      <c r="AD73" s="19">
        <f>IF(X73=1,MAX(0,MIN(Settings!$B$6-Z73,(IFERROR(VLOOKUP(V72,'Bucket Status'!$A$4:$B$75,2,FALSE()),0)-(SUMIF($U$5:$U72,V72,$AK$5:$AK72)+SUMIF($V$5:$V72,V72,$AL$5:$AL72)+SUMIF($Y$5:$Y72,V72,$AA$5:$AA72)+SUMIF($AC$5:$AC72,V72,$AE$5:$AE72))))),IF(AF72&gt;0,AF72,0))</f>
        <v>0</v>
      </c>
      <c r="AE73" s="19">
        <f t="shared" si="59"/>
        <v>0</v>
      </c>
      <c r="AF73" s="19">
        <f t="shared" si="60"/>
        <v>0</v>
      </c>
      <c r="AG73" s="20">
        <f>IFERROR(IF(C73="Y",Settings!$B$4+Settings!$B$5,0),0)</f>
        <v>0</v>
      </c>
      <c r="AH73" s="21" t="str">
        <f>IFERROR(IF(U73="","",IFERROR(VLOOKUP(U73,'Bucket Status'!$A$4:$B$75,2,FALSE()),0)-(SUMIF($U$5:$U72,U73,$AK$5:$AK72)+SUMIF($V$5:$V72,U73,$AL$5:$AL72)+SUMIF($Y$5:$Y72,U73,$AA$5:$AA72)+SUMIF($AC$5:$AC72,U73,$AE$5:$AE72))),"")</f>
        <v/>
      </c>
      <c r="AI73" s="22" t="str">
        <f>IFERROR(IF(V73="","",IFERROR(VLOOKUP(V73,'Bucket Status'!$A$4:$B$75,2,FALSE()),0)-(SUMIF($U$5:$U72,V73,$AK$5:$AK72)+SUMIF($V$5:$V72,V73,$AL$5:$AL72)+SUMIF($Y$5:$Y72,V73,$AA$5:$AA72)+SUMIF($AC$5:$AC72,V73,$AE$5:$AE72))),"")</f>
        <v/>
      </c>
      <c r="AJ73" s="23" t="str">
        <f t="shared" si="61"/>
        <v/>
      </c>
      <c r="AK73" s="21" t="str">
        <f t="shared" si="62"/>
        <v/>
      </c>
      <c r="AL73" s="22" t="str">
        <f t="shared" si="63"/>
        <v/>
      </c>
    </row>
    <row r="74" spans="1:38" ht="18" customHeight="1" x14ac:dyDescent="0.3">
      <c r="A74" s="3"/>
      <c r="B74" s="50"/>
      <c r="C74" s="4"/>
      <c r="D74" s="5"/>
      <c r="E74" s="5"/>
      <c r="F74" s="6"/>
      <c r="G74" s="6"/>
      <c r="H74" s="7"/>
      <c r="I74" s="8" t="str">
        <f t="shared" si="48"/>
        <v/>
      </c>
      <c r="J74" s="9" t="str">
        <f t="shared" si="49"/>
        <v/>
      </c>
      <c r="K74" s="10" t="str">
        <f t="shared" si="50"/>
        <v/>
      </c>
      <c r="L74" s="11" t="str">
        <f t="shared" si="51"/>
        <v/>
      </c>
      <c r="M74" s="12" t="str">
        <f t="shared" si="52"/>
        <v/>
      </c>
      <c r="N74" s="13" t="str">
        <f t="shared" si="53"/>
        <v/>
      </c>
      <c r="O74" s="14" t="str">
        <f t="shared" si="54"/>
        <v/>
      </c>
      <c r="P74" s="15"/>
      <c r="Q74" s="16" t="str">
        <f t="shared" si="64"/>
        <v/>
      </c>
      <c r="R74" s="16" t="str">
        <f t="shared" si="65"/>
        <v/>
      </c>
      <c r="S74" s="17" t="str">
        <f t="shared" si="66"/>
        <v/>
      </c>
      <c r="T74" s="17" t="str">
        <f t="shared" si="67"/>
        <v/>
      </c>
      <c r="U74" s="16" t="str">
        <f t="shared" si="55"/>
        <v/>
      </c>
      <c r="V74" s="17" t="str">
        <f t="shared" si="56"/>
        <v/>
      </c>
      <c r="W74" s="18">
        <f t="shared" si="68"/>
        <v>0</v>
      </c>
      <c r="X74" s="18">
        <f t="shared" si="69"/>
        <v>0</v>
      </c>
      <c r="Y74" s="18" t="str">
        <f t="shared" si="70"/>
        <v/>
      </c>
      <c r="Z74" s="19">
        <f>IF(W74=1,MAX(0,MIN(Settings!$B$6,(IFERROR(VLOOKUP(U73,'Bucket Status'!$A$4:$B$75,2,FALSE()),0)-(SUMIF($U$5:$U73,U73,$AK$5:$AK73)+SUMIF($V$5:$V73,U73,$AL$5:$AL73)+SUMIF($Y$5:$Y73,U73,$AA$5:$AA73)+SUMIF($AC$5:$AC73,U73,$AE$5:$AE73))))),IF(AB73&gt;0,AB73,0))</f>
        <v>0</v>
      </c>
      <c r="AA74" s="19">
        <f t="shared" si="57"/>
        <v>0</v>
      </c>
      <c r="AB74" s="19">
        <f t="shared" si="58"/>
        <v>0</v>
      </c>
      <c r="AC74" s="18" t="str">
        <f t="shared" si="71"/>
        <v/>
      </c>
      <c r="AD74" s="19">
        <f>IF(X74=1,MAX(0,MIN(Settings!$B$6-Z74,(IFERROR(VLOOKUP(V73,'Bucket Status'!$A$4:$B$75,2,FALSE()),0)-(SUMIF($U$5:$U73,V73,$AK$5:$AK73)+SUMIF($V$5:$V73,V73,$AL$5:$AL73)+SUMIF($Y$5:$Y73,V73,$AA$5:$AA73)+SUMIF($AC$5:$AC73,V73,$AE$5:$AE73))))),IF(AF73&gt;0,AF73,0))</f>
        <v>0</v>
      </c>
      <c r="AE74" s="19">
        <f t="shared" si="59"/>
        <v>0</v>
      </c>
      <c r="AF74" s="19">
        <f t="shared" si="60"/>
        <v>0</v>
      </c>
      <c r="AG74" s="20">
        <f>IFERROR(IF(C74="Y",Settings!$B$4+Settings!$B$5,0),0)</f>
        <v>0</v>
      </c>
      <c r="AH74" s="21" t="str">
        <f>IFERROR(IF(U74="","",IFERROR(VLOOKUP(U74,'Bucket Status'!$A$4:$B$75,2,FALSE()),0)-(SUMIF($U$5:$U73,U74,$AK$5:$AK73)+SUMIF($V$5:$V73,U74,$AL$5:$AL73)+SUMIF($Y$5:$Y73,U74,$AA$5:$AA73)+SUMIF($AC$5:$AC73,U74,$AE$5:$AE73))),"")</f>
        <v/>
      </c>
      <c r="AI74" s="22" t="str">
        <f>IFERROR(IF(V74="","",IFERROR(VLOOKUP(V74,'Bucket Status'!$A$4:$B$75,2,FALSE()),0)-(SUMIF($U$5:$U73,V74,$AK$5:$AK73)+SUMIF($V$5:$V73,V74,$AL$5:$AL73)+SUMIF($Y$5:$Y73,V74,$AA$5:$AA73)+SUMIF($AC$5:$AC73,V74,$AE$5:$AE73))),"")</f>
        <v/>
      </c>
      <c r="AJ74" s="23" t="str">
        <f t="shared" si="61"/>
        <v/>
      </c>
      <c r="AK74" s="21" t="str">
        <f t="shared" si="62"/>
        <v/>
      </c>
      <c r="AL74" s="22" t="str">
        <f t="shared" si="63"/>
        <v/>
      </c>
    </row>
    <row r="75" spans="1:38" ht="18" customHeight="1" x14ac:dyDescent="0.3">
      <c r="A75" s="3"/>
      <c r="B75" s="50"/>
      <c r="C75" s="4"/>
      <c r="D75" s="5"/>
      <c r="E75" s="5"/>
      <c r="F75" s="6"/>
      <c r="G75" s="6"/>
      <c r="H75" s="7"/>
      <c r="I75" s="8" t="str">
        <f t="shared" si="48"/>
        <v/>
      </c>
      <c r="J75" s="9" t="str">
        <f t="shared" si="49"/>
        <v/>
      </c>
      <c r="K75" s="10" t="str">
        <f t="shared" si="50"/>
        <v/>
      </c>
      <c r="L75" s="11" t="str">
        <f t="shared" si="51"/>
        <v/>
      </c>
      <c r="M75" s="12" t="str">
        <f t="shared" si="52"/>
        <v/>
      </c>
      <c r="N75" s="13" t="str">
        <f t="shared" si="53"/>
        <v/>
      </c>
      <c r="O75" s="14" t="str">
        <f t="shared" si="54"/>
        <v/>
      </c>
      <c r="P75" s="15"/>
      <c r="Q75" s="16" t="str">
        <f t="shared" si="64"/>
        <v/>
      </c>
      <c r="R75" s="16" t="str">
        <f t="shared" si="65"/>
        <v/>
      </c>
      <c r="S75" s="17" t="str">
        <f t="shared" si="66"/>
        <v/>
      </c>
      <c r="T75" s="17" t="str">
        <f t="shared" si="67"/>
        <v/>
      </c>
      <c r="U75" s="16" t="str">
        <f t="shared" si="55"/>
        <v/>
      </c>
      <c r="V75" s="17" t="str">
        <f t="shared" si="56"/>
        <v/>
      </c>
      <c r="W75" s="18">
        <f t="shared" si="68"/>
        <v>0</v>
      </c>
      <c r="X75" s="18">
        <f t="shared" si="69"/>
        <v>0</v>
      </c>
      <c r="Y75" s="18" t="str">
        <f t="shared" si="70"/>
        <v/>
      </c>
      <c r="Z75" s="19">
        <f>IF(W75=1,MAX(0,MIN(Settings!$B$6,(IFERROR(VLOOKUP(U74,'Bucket Status'!$A$4:$B$75,2,FALSE()),0)-(SUMIF($U$5:$U74,U74,$AK$5:$AK74)+SUMIF($V$5:$V74,U74,$AL$5:$AL74)+SUMIF($Y$5:$Y74,U74,$AA$5:$AA74)+SUMIF($AC$5:$AC74,U74,$AE$5:$AE74))))),IF(AB74&gt;0,AB74,0))</f>
        <v>0</v>
      </c>
      <c r="AA75" s="19">
        <f t="shared" si="57"/>
        <v>0</v>
      </c>
      <c r="AB75" s="19">
        <f t="shared" si="58"/>
        <v>0</v>
      </c>
      <c r="AC75" s="18" t="str">
        <f t="shared" si="71"/>
        <v/>
      </c>
      <c r="AD75" s="19">
        <f>IF(X75=1,MAX(0,MIN(Settings!$B$6-Z75,(IFERROR(VLOOKUP(V74,'Bucket Status'!$A$4:$B$75,2,FALSE()),0)-(SUMIF($U$5:$U74,V74,$AK$5:$AK74)+SUMIF($V$5:$V74,V74,$AL$5:$AL74)+SUMIF($Y$5:$Y74,V74,$AA$5:$AA74)+SUMIF($AC$5:$AC74,V74,$AE$5:$AE74))))),IF(AF74&gt;0,AF74,0))</f>
        <v>0</v>
      </c>
      <c r="AE75" s="19">
        <f t="shared" si="59"/>
        <v>0</v>
      </c>
      <c r="AF75" s="19">
        <f t="shared" si="60"/>
        <v>0</v>
      </c>
      <c r="AG75" s="20">
        <f>IFERROR(IF(C75="Y",Settings!$B$4+Settings!$B$5,0),0)</f>
        <v>0</v>
      </c>
      <c r="AH75" s="21" t="str">
        <f>IFERROR(IF(U75="","",IFERROR(VLOOKUP(U75,'Bucket Status'!$A$4:$B$75,2,FALSE()),0)-(SUMIF($U$5:$U74,U75,$AK$5:$AK74)+SUMIF($V$5:$V74,U75,$AL$5:$AL74)+SUMIF($Y$5:$Y74,U75,$AA$5:$AA74)+SUMIF($AC$5:$AC74,U75,$AE$5:$AE74))),"")</f>
        <v/>
      </c>
      <c r="AI75" s="22" t="str">
        <f>IFERROR(IF(V75="","",IFERROR(VLOOKUP(V75,'Bucket Status'!$A$4:$B$75,2,FALSE()),0)-(SUMIF($U$5:$U74,V75,$AK$5:$AK74)+SUMIF($V$5:$V74,V75,$AL$5:$AL74)+SUMIF($Y$5:$Y74,V75,$AA$5:$AA74)+SUMIF($AC$5:$AC74,V75,$AE$5:$AE74))),"")</f>
        <v/>
      </c>
      <c r="AJ75" s="23" t="str">
        <f t="shared" si="61"/>
        <v/>
      </c>
      <c r="AK75" s="21" t="str">
        <f t="shared" si="62"/>
        <v/>
      </c>
      <c r="AL75" s="22" t="str">
        <f t="shared" si="63"/>
        <v/>
      </c>
    </row>
    <row r="76" spans="1:38" ht="18" customHeight="1" x14ac:dyDescent="0.3">
      <c r="A76" s="3"/>
      <c r="B76" s="50"/>
      <c r="C76" s="4"/>
      <c r="D76" s="5"/>
      <c r="E76" s="5"/>
      <c r="F76" s="6"/>
      <c r="G76" s="6"/>
      <c r="H76" s="7"/>
      <c r="I76" s="8" t="str">
        <f t="shared" si="48"/>
        <v/>
      </c>
      <c r="J76" s="9" t="str">
        <f t="shared" si="49"/>
        <v/>
      </c>
      <c r="K76" s="10" t="str">
        <f t="shared" si="50"/>
        <v/>
      </c>
      <c r="L76" s="11" t="str">
        <f t="shared" si="51"/>
        <v/>
      </c>
      <c r="M76" s="12" t="str">
        <f t="shared" si="52"/>
        <v/>
      </c>
      <c r="N76" s="13" t="str">
        <f t="shared" si="53"/>
        <v/>
      </c>
      <c r="O76" s="14" t="str">
        <f t="shared" si="54"/>
        <v/>
      </c>
      <c r="P76" s="15"/>
      <c r="Q76" s="16" t="str">
        <f t="shared" si="64"/>
        <v/>
      </c>
      <c r="R76" s="16" t="str">
        <f t="shared" si="65"/>
        <v/>
      </c>
      <c r="S76" s="17" t="str">
        <f t="shared" si="66"/>
        <v/>
      </c>
      <c r="T76" s="17" t="str">
        <f t="shared" si="67"/>
        <v/>
      </c>
      <c r="U76" s="16" t="str">
        <f t="shared" si="55"/>
        <v/>
      </c>
      <c r="V76" s="17" t="str">
        <f t="shared" si="56"/>
        <v/>
      </c>
      <c r="W76" s="18">
        <f t="shared" si="68"/>
        <v>0</v>
      </c>
      <c r="X76" s="18">
        <f t="shared" si="69"/>
        <v>0</v>
      </c>
      <c r="Y76" s="18" t="str">
        <f t="shared" si="70"/>
        <v/>
      </c>
      <c r="Z76" s="19">
        <f>IF(W76=1,MAX(0,MIN(Settings!$B$6,(IFERROR(VLOOKUP(U75,'Bucket Status'!$A$4:$B$75,2,FALSE()),0)-(SUMIF($U$5:$U75,U75,$AK$5:$AK75)+SUMIF($V$5:$V75,U75,$AL$5:$AL75)+SUMIF($Y$5:$Y75,U75,$AA$5:$AA75)+SUMIF($AC$5:$AC75,U75,$AE$5:$AE75))))),IF(AB75&gt;0,AB75,0))</f>
        <v>0</v>
      </c>
      <c r="AA76" s="19">
        <f t="shared" si="57"/>
        <v>0</v>
      </c>
      <c r="AB76" s="19">
        <f t="shared" si="58"/>
        <v>0</v>
      </c>
      <c r="AC76" s="18" t="str">
        <f t="shared" si="71"/>
        <v/>
      </c>
      <c r="AD76" s="19">
        <f>IF(X76=1,MAX(0,MIN(Settings!$B$6-Z76,(IFERROR(VLOOKUP(V75,'Bucket Status'!$A$4:$B$75,2,FALSE()),0)-(SUMIF($U$5:$U75,V75,$AK$5:$AK75)+SUMIF($V$5:$V75,V75,$AL$5:$AL75)+SUMIF($Y$5:$Y75,V75,$AA$5:$AA75)+SUMIF($AC$5:$AC75,V75,$AE$5:$AE75))))),IF(AF75&gt;0,AF75,0))</f>
        <v>0</v>
      </c>
      <c r="AE76" s="19">
        <f t="shared" si="59"/>
        <v>0</v>
      </c>
      <c r="AF76" s="19">
        <f t="shared" si="60"/>
        <v>0</v>
      </c>
      <c r="AG76" s="20">
        <f>IFERROR(IF(C76="Y",Settings!$B$4+Settings!$B$5,0),0)</f>
        <v>0</v>
      </c>
      <c r="AH76" s="21" t="str">
        <f>IFERROR(IF(U76="","",IFERROR(VLOOKUP(U76,'Bucket Status'!$A$4:$B$75,2,FALSE()),0)-(SUMIF($U$5:$U75,U76,$AK$5:$AK75)+SUMIF($V$5:$V75,U76,$AL$5:$AL75)+SUMIF($Y$5:$Y75,U76,$AA$5:$AA75)+SUMIF($AC$5:$AC75,U76,$AE$5:$AE75))),"")</f>
        <v/>
      </c>
      <c r="AI76" s="22" t="str">
        <f>IFERROR(IF(V76="","",IFERROR(VLOOKUP(V76,'Bucket Status'!$A$4:$B$75,2,FALSE()),0)-(SUMIF($U$5:$U75,V76,$AK$5:$AK75)+SUMIF($V$5:$V75,V76,$AL$5:$AL75)+SUMIF($Y$5:$Y75,V76,$AA$5:$AA75)+SUMIF($AC$5:$AC75,V76,$AE$5:$AE75))),"")</f>
        <v/>
      </c>
      <c r="AJ76" s="23" t="str">
        <f t="shared" si="61"/>
        <v/>
      </c>
      <c r="AK76" s="21" t="str">
        <f t="shared" si="62"/>
        <v/>
      </c>
      <c r="AL76" s="22" t="str">
        <f t="shared" si="63"/>
        <v/>
      </c>
    </row>
    <row r="77" spans="1:38" ht="18" customHeight="1" x14ac:dyDescent="0.3">
      <c r="A77" s="3"/>
      <c r="B77" s="50"/>
      <c r="C77" s="4"/>
      <c r="D77" s="5"/>
      <c r="E77" s="5"/>
      <c r="F77" s="6"/>
      <c r="G77" s="6"/>
      <c r="H77" s="7"/>
      <c r="I77" s="8" t="str">
        <f t="shared" si="48"/>
        <v/>
      </c>
      <c r="J77" s="9" t="str">
        <f t="shared" si="49"/>
        <v/>
      </c>
      <c r="K77" s="10" t="str">
        <f t="shared" si="50"/>
        <v/>
      </c>
      <c r="L77" s="11" t="str">
        <f t="shared" si="51"/>
        <v/>
      </c>
      <c r="M77" s="12" t="str">
        <f t="shared" si="52"/>
        <v/>
      </c>
      <c r="N77" s="13" t="str">
        <f t="shared" si="53"/>
        <v/>
      </c>
      <c r="O77" s="14" t="str">
        <f t="shared" si="54"/>
        <v/>
      </c>
      <c r="P77" s="15"/>
      <c r="Q77" s="16" t="str">
        <f t="shared" si="64"/>
        <v/>
      </c>
      <c r="R77" s="16" t="str">
        <f t="shared" si="65"/>
        <v/>
      </c>
      <c r="S77" s="17" t="str">
        <f t="shared" si="66"/>
        <v/>
      </c>
      <c r="T77" s="17" t="str">
        <f t="shared" si="67"/>
        <v/>
      </c>
      <c r="U77" s="16" t="str">
        <f t="shared" si="55"/>
        <v/>
      </c>
      <c r="V77" s="17" t="str">
        <f t="shared" si="56"/>
        <v/>
      </c>
      <c r="W77" s="18">
        <f t="shared" si="68"/>
        <v>0</v>
      </c>
      <c r="X77" s="18">
        <f t="shared" si="69"/>
        <v>0</v>
      </c>
      <c r="Y77" s="18" t="str">
        <f t="shared" si="70"/>
        <v/>
      </c>
      <c r="Z77" s="19">
        <f>IF(W77=1,MAX(0,MIN(Settings!$B$6,(IFERROR(VLOOKUP(U76,'Bucket Status'!$A$4:$B$75,2,FALSE()),0)-(SUMIF($U$5:$U76,U76,$AK$5:$AK76)+SUMIF($V$5:$V76,U76,$AL$5:$AL76)+SUMIF($Y$5:$Y76,U76,$AA$5:$AA76)+SUMIF($AC$5:$AC76,U76,$AE$5:$AE76))))),IF(AB76&gt;0,AB76,0))</f>
        <v>0</v>
      </c>
      <c r="AA77" s="19">
        <f t="shared" si="57"/>
        <v>0</v>
      </c>
      <c r="AB77" s="19">
        <f t="shared" si="58"/>
        <v>0</v>
      </c>
      <c r="AC77" s="18" t="str">
        <f t="shared" si="71"/>
        <v/>
      </c>
      <c r="AD77" s="19">
        <f>IF(X77=1,MAX(0,MIN(Settings!$B$6-Z77,(IFERROR(VLOOKUP(V76,'Bucket Status'!$A$4:$B$75,2,FALSE()),0)-(SUMIF($U$5:$U76,V76,$AK$5:$AK76)+SUMIF($V$5:$V76,V76,$AL$5:$AL76)+SUMIF($Y$5:$Y76,V76,$AA$5:$AA76)+SUMIF($AC$5:$AC76,V76,$AE$5:$AE76))))),IF(AF76&gt;0,AF76,0))</f>
        <v>0</v>
      </c>
      <c r="AE77" s="19">
        <f t="shared" si="59"/>
        <v>0</v>
      </c>
      <c r="AF77" s="19">
        <f t="shared" si="60"/>
        <v>0</v>
      </c>
      <c r="AG77" s="20">
        <f>IFERROR(IF(C77="Y",Settings!$B$4+Settings!$B$5,0),0)</f>
        <v>0</v>
      </c>
      <c r="AH77" s="21" t="str">
        <f>IFERROR(IF(U77="","",IFERROR(VLOOKUP(U77,'Bucket Status'!$A$4:$B$75,2,FALSE()),0)-(SUMIF($U$5:$U76,U77,$AK$5:$AK76)+SUMIF($V$5:$V76,U77,$AL$5:$AL76)+SUMIF($Y$5:$Y76,U77,$AA$5:$AA76)+SUMIF($AC$5:$AC76,U77,$AE$5:$AE76))),"")</f>
        <v/>
      </c>
      <c r="AI77" s="22" t="str">
        <f>IFERROR(IF(V77="","",IFERROR(VLOOKUP(V77,'Bucket Status'!$A$4:$B$75,2,FALSE()),0)-(SUMIF($U$5:$U76,V77,$AK$5:$AK76)+SUMIF($V$5:$V76,V77,$AL$5:$AL76)+SUMIF($Y$5:$Y76,V77,$AA$5:$AA76)+SUMIF($AC$5:$AC76,V77,$AE$5:$AE76))),"")</f>
        <v/>
      </c>
      <c r="AJ77" s="23" t="str">
        <f t="shared" si="61"/>
        <v/>
      </c>
      <c r="AK77" s="21" t="str">
        <f t="shared" si="62"/>
        <v/>
      </c>
      <c r="AL77" s="22" t="str">
        <f t="shared" si="63"/>
        <v/>
      </c>
    </row>
    <row r="78" spans="1:38" ht="18" customHeight="1" x14ac:dyDescent="0.3">
      <c r="A78" s="3"/>
      <c r="B78" s="50"/>
      <c r="C78" s="4"/>
      <c r="D78" s="5"/>
      <c r="E78" s="5"/>
      <c r="F78" s="6"/>
      <c r="G78" s="6"/>
      <c r="H78" s="7"/>
      <c r="I78" s="8" t="str">
        <f t="shared" si="48"/>
        <v/>
      </c>
      <c r="J78" s="9" t="str">
        <f t="shared" si="49"/>
        <v/>
      </c>
      <c r="K78" s="10" t="str">
        <f t="shared" si="50"/>
        <v/>
      </c>
      <c r="L78" s="11" t="str">
        <f t="shared" si="51"/>
        <v/>
      </c>
      <c r="M78" s="12" t="str">
        <f t="shared" si="52"/>
        <v/>
      </c>
      <c r="N78" s="13" t="str">
        <f t="shared" si="53"/>
        <v/>
      </c>
      <c r="O78" s="14" t="str">
        <f t="shared" si="54"/>
        <v/>
      </c>
      <c r="P78" s="15"/>
      <c r="Q78" s="16" t="str">
        <f t="shared" si="64"/>
        <v/>
      </c>
      <c r="R78" s="16" t="str">
        <f t="shared" si="65"/>
        <v/>
      </c>
      <c r="S78" s="17" t="str">
        <f t="shared" si="66"/>
        <v/>
      </c>
      <c r="T78" s="17" t="str">
        <f t="shared" si="67"/>
        <v/>
      </c>
      <c r="U78" s="16" t="str">
        <f t="shared" si="55"/>
        <v/>
      </c>
      <c r="V78" s="17" t="str">
        <f t="shared" si="56"/>
        <v/>
      </c>
      <c r="W78" s="18">
        <f t="shared" si="68"/>
        <v>0</v>
      </c>
      <c r="X78" s="18">
        <f t="shared" si="69"/>
        <v>0</v>
      </c>
      <c r="Y78" s="18" t="str">
        <f t="shared" si="70"/>
        <v/>
      </c>
      <c r="Z78" s="19">
        <f>IF(W78=1,MAX(0,MIN(Settings!$B$6,(IFERROR(VLOOKUP(U77,'Bucket Status'!$A$4:$B$75,2,FALSE()),0)-(SUMIF($U$5:$U77,U77,$AK$5:$AK77)+SUMIF($V$5:$V77,U77,$AL$5:$AL77)+SUMIF($Y$5:$Y77,U77,$AA$5:$AA77)+SUMIF($AC$5:$AC77,U77,$AE$5:$AE77))))),IF(AB77&gt;0,AB77,0))</f>
        <v>0</v>
      </c>
      <c r="AA78" s="19">
        <f t="shared" si="57"/>
        <v>0</v>
      </c>
      <c r="AB78" s="19">
        <f t="shared" si="58"/>
        <v>0</v>
      </c>
      <c r="AC78" s="18" t="str">
        <f t="shared" si="71"/>
        <v/>
      </c>
      <c r="AD78" s="19">
        <f>IF(X78=1,MAX(0,MIN(Settings!$B$6-Z78,(IFERROR(VLOOKUP(V77,'Bucket Status'!$A$4:$B$75,2,FALSE()),0)-(SUMIF($U$5:$U77,V77,$AK$5:$AK77)+SUMIF($V$5:$V77,V77,$AL$5:$AL77)+SUMIF($Y$5:$Y77,V77,$AA$5:$AA77)+SUMIF($AC$5:$AC77,V77,$AE$5:$AE77))))),IF(AF77&gt;0,AF77,0))</f>
        <v>0</v>
      </c>
      <c r="AE78" s="19">
        <f t="shared" si="59"/>
        <v>0</v>
      </c>
      <c r="AF78" s="19">
        <f t="shared" si="60"/>
        <v>0</v>
      </c>
      <c r="AG78" s="20">
        <f>IFERROR(IF(C78="Y",Settings!$B$4+Settings!$B$5,0),0)</f>
        <v>0</v>
      </c>
      <c r="AH78" s="21" t="str">
        <f>IFERROR(IF(U78="","",IFERROR(VLOOKUP(U78,'Bucket Status'!$A$4:$B$75,2,FALSE()),0)-(SUMIF($U$5:$U77,U78,$AK$5:$AK77)+SUMIF($V$5:$V77,U78,$AL$5:$AL77)+SUMIF($Y$5:$Y77,U78,$AA$5:$AA77)+SUMIF($AC$5:$AC77,U78,$AE$5:$AE77))),"")</f>
        <v/>
      </c>
      <c r="AI78" s="22" t="str">
        <f>IFERROR(IF(V78="","",IFERROR(VLOOKUP(V78,'Bucket Status'!$A$4:$B$75,2,FALSE()),0)-(SUMIF($U$5:$U77,V78,$AK$5:$AK77)+SUMIF($V$5:$V77,V78,$AL$5:$AL77)+SUMIF($Y$5:$Y77,V78,$AA$5:$AA77)+SUMIF($AC$5:$AC77,V78,$AE$5:$AE77))),"")</f>
        <v/>
      </c>
      <c r="AJ78" s="23" t="str">
        <f t="shared" si="61"/>
        <v/>
      </c>
      <c r="AK78" s="21" t="str">
        <f t="shared" si="62"/>
        <v/>
      </c>
      <c r="AL78" s="22" t="str">
        <f t="shared" si="63"/>
        <v/>
      </c>
    </row>
    <row r="79" spans="1:38" ht="18" customHeight="1" x14ac:dyDescent="0.3">
      <c r="A79" s="3"/>
      <c r="B79" s="50"/>
      <c r="C79" s="4"/>
      <c r="D79" s="5"/>
      <c r="E79" s="5"/>
      <c r="F79" s="6"/>
      <c r="G79" s="6"/>
      <c r="H79" s="7"/>
      <c r="I79" s="8" t="str">
        <f t="shared" si="48"/>
        <v/>
      </c>
      <c r="J79" s="9" t="str">
        <f t="shared" si="49"/>
        <v/>
      </c>
      <c r="K79" s="10" t="str">
        <f t="shared" si="50"/>
        <v/>
      </c>
      <c r="L79" s="11" t="str">
        <f t="shared" si="51"/>
        <v/>
      </c>
      <c r="M79" s="12" t="str">
        <f t="shared" si="52"/>
        <v/>
      </c>
      <c r="N79" s="13" t="str">
        <f t="shared" si="53"/>
        <v/>
      </c>
      <c r="O79" s="14" t="str">
        <f t="shared" si="54"/>
        <v/>
      </c>
      <c r="P79" s="15"/>
      <c r="Q79" s="16" t="str">
        <f t="shared" si="64"/>
        <v/>
      </c>
      <c r="R79" s="16" t="str">
        <f t="shared" si="65"/>
        <v/>
      </c>
      <c r="S79" s="17" t="str">
        <f t="shared" si="66"/>
        <v/>
      </c>
      <c r="T79" s="17" t="str">
        <f t="shared" si="67"/>
        <v/>
      </c>
      <c r="U79" s="16" t="str">
        <f t="shared" si="55"/>
        <v/>
      </c>
      <c r="V79" s="17" t="str">
        <f t="shared" si="56"/>
        <v/>
      </c>
      <c r="W79" s="18">
        <f t="shared" si="68"/>
        <v>0</v>
      </c>
      <c r="X79" s="18">
        <f t="shared" si="69"/>
        <v>0</v>
      </c>
      <c r="Y79" s="18" t="str">
        <f t="shared" si="70"/>
        <v/>
      </c>
      <c r="Z79" s="19">
        <f>IF(W79=1,MAX(0,MIN(Settings!$B$6,(IFERROR(VLOOKUP(U78,'Bucket Status'!$A$4:$B$75,2,FALSE()),0)-(SUMIF($U$5:$U78,U78,$AK$5:$AK78)+SUMIF($V$5:$V78,U78,$AL$5:$AL78)+SUMIF($Y$5:$Y78,U78,$AA$5:$AA78)+SUMIF($AC$5:$AC78,U78,$AE$5:$AE78))))),IF(AB78&gt;0,AB78,0))</f>
        <v>0</v>
      </c>
      <c r="AA79" s="19">
        <f t="shared" si="57"/>
        <v>0</v>
      </c>
      <c r="AB79" s="19">
        <f t="shared" si="58"/>
        <v>0</v>
      </c>
      <c r="AC79" s="18" t="str">
        <f t="shared" si="71"/>
        <v/>
      </c>
      <c r="AD79" s="19">
        <f>IF(X79=1,MAX(0,MIN(Settings!$B$6-Z79,(IFERROR(VLOOKUP(V78,'Bucket Status'!$A$4:$B$75,2,FALSE()),0)-(SUMIF($U$5:$U78,V78,$AK$5:$AK78)+SUMIF($V$5:$V78,V78,$AL$5:$AL78)+SUMIF($Y$5:$Y78,V78,$AA$5:$AA78)+SUMIF($AC$5:$AC78,V78,$AE$5:$AE78))))),IF(AF78&gt;0,AF78,0))</f>
        <v>0</v>
      </c>
      <c r="AE79" s="19">
        <f t="shared" si="59"/>
        <v>0</v>
      </c>
      <c r="AF79" s="19">
        <f t="shared" si="60"/>
        <v>0</v>
      </c>
      <c r="AG79" s="20">
        <f>IFERROR(IF(C79="Y",Settings!$B$4+Settings!$B$5,0),0)</f>
        <v>0</v>
      </c>
      <c r="AH79" s="21" t="str">
        <f>IFERROR(IF(U79="","",IFERROR(VLOOKUP(U79,'Bucket Status'!$A$4:$B$75,2,FALSE()),0)-(SUMIF($U$5:$U78,U79,$AK$5:$AK78)+SUMIF($V$5:$V78,U79,$AL$5:$AL78)+SUMIF($Y$5:$Y78,U79,$AA$5:$AA78)+SUMIF($AC$5:$AC78,U79,$AE$5:$AE78))),"")</f>
        <v/>
      </c>
      <c r="AI79" s="22" t="str">
        <f>IFERROR(IF(V79="","",IFERROR(VLOOKUP(V79,'Bucket Status'!$A$4:$B$75,2,FALSE()),0)-(SUMIF($U$5:$U78,V79,$AK$5:$AK78)+SUMIF($V$5:$V78,V79,$AL$5:$AL78)+SUMIF($Y$5:$Y78,V79,$AA$5:$AA78)+SUMIF($AC$5:$AC78,V79,$AE$5:$AE78))),"")</f>
        <v/>
      </c>
      <c r="AJ79" s="23" t="str">
        <f t="shared" si="61"/>
        <v/>
      </c>
      <c r="AK79" s="21" t="str">
        <f t="shared" si="62"/>
        <v/>
      </c>
      <c r="AL79" s="22" t="str">
        <f t="shared" si="63"/>
        <v/>
      </c>
    </row>
    <row r="80" spans="1:38" ht="18" customHeight="1" x14ac:dyDescent="0.3">
      <c r="A80" s="3"/>
      <c r="B80" s="50"/>
      <c r="C80" s="4"/>
      <c r="D80" s="5"/>
      <c r="E80" s="5"/>
      <c r="F80" s="6"/>
      <c r="G80" s="6"/>
      <c r="H80" s="7"/>
      <c r="I80" s="8" t="str">
        <f t="shared" si="48"/>
        <v/>
      </c>
      <c r="J80" s="9" t="str">
        <f t="shared" si="49"/>
        <v/>
      </c>
      <c r="K80" s="10" t="str">
        <f t="shared" si="50"/>
        <v/>
      </c>
      <c r="L80" s="11" t="str">
        <f t="shared" si="51"/>
        <v/>
      </c>
      <c r="M80" s="12" t="str">
        <f t="shared" si="52"/>
        <v/>
      </c>
      <c r="N80" s="13" t="str">
        <f t="shared" si="53"/>
        <v/>
      </c>
      <c r="O80" s="14" t="str">
        <f t="shared" si="54"/>
        <v/>
      </c>
      <c r="P80" s="15"/>
      <c r="Q80" s="16" t="str">
        <f t="shared" si="64"/>
        <v/>
      </c>
      <c r="R80" s="16" t="str">
        <f t="shared" si="65"/>
        <v/>
      </c>
      <c r="S80" s="17" t="str">
        <f t="shared" si="66"/>
        <v/>
      </c>
      <c r="T80" s="17" t="str">
        <f t="shared" si="67"/>
        <v/>
      </c>
      <c r="U80" s="16" t="str">
        <f t="shared" si="55"/>
        <v/>
      </c>
      <c r="V80" s="17" t="str">
        <f t="shared" si="56"/>
        <v/>
      </c>
      <c r="W80" s="18">
        <f t="shared" si="68"/>
        <v>0</v>
      </c>
      <c r="X80" s="18">
        <f t="shared" si="69"/>
        <v>0</v>
      </c>
      <c r="Y80" s="18" t="str">
        <f t="shared" si="70"/>
        <v/>
      </c>
      <c r="Z80" s="19">
        <f>IF(W80=1,MAX(0,MIN(Settings!$B$6,(IFERROR(VLOOKUP(U79,'Bucket Status'!$A$4:$B$75,2,FALSE()),0)-(SUMIF($U$5:$U79,U79,$AK$5:$AK79)+SUMIF($V$5:$V79,U79,$AL$5:$AL79)+SUMIF($Y$5:$Y79,U79,$AA$5:$AA79)+SUMIF($AC$5:$AC79,U79,$AE$5:$AE79))))),IF(AB79&gt;0,AB79,0))</f>
        <v>0</v>
      </c>
      <c r="AA80" s="19">
        <f t="shared" si="57"/>
        <v>0</v>
      </c>
      <c r="AB80" s="19">
        <f t="shared" si="58"/>
        <v>0</v>
      </c>
      <c r="AC80" s="18" t="str">
        <f t="shared" si="71"/>
        <v/>
      </c>
      <c r="AD80" s="19">
        <f>IF(X80=1,MAX(0,MIN(Settings!$B$6-Z80,(IFERROR(VLOOKUP(V79,'Bucket Status'!$A$4:$B$75,2,FALSE()),0)-(SUMIF($U$5:$U79,V79,$AK$5:$AK79)+SUMIF($V$5:$V79,V79,$AL$5:$AL79)+SUMIF($Y$5:$Y79,V79,$AA$5:$AA79)+SUMIF($AC$5:$AC79,V79,$AE$5:$AE79))))),IF(AF79&gt;0,AF79,0))</f>
        <v>0</v>
      </c>
      <c r="AE80" s="19">
        <f t="shared" si="59"/>
        <v>0</v>
      </c>
      <c r="AF80" s="19">
        <f t="shared" si="60"/>
        <v>0</v>
      </c>
      <c r="AG80" s="20">
        <f>IFERROR(IF(C80="Y",Settings!$B$4+Settings!$B$5,0),0)</f>
        <v>0</v>
      </c>
      <c r="AH80" s="21" t="str">
        <f>IFERROR(IF(U80="","",IFERROR(VLOOKUP(U80,'Bucket Status'!$A$4:$B$75,2,FALSE()),0)-(SUMIF($U$5:$U79,U80,$AK$5:$AK79)+SUMIF($V$5:$V79,U80,$AL$5:$AL79)+SUMIF($Y$5:$Y79,U80,$AA$5:$AA79)+SUMIF($AC$5:$AC79,U80,$AE$5:$AE79))),"")</f>
        <v/>
      </c>
      <c r="AI80" s="22" t="str">
        <f>IFERROR(IF(V80="","",IFERROR(VLOOKUP(V80,'Bucket Status'!$A$4:$B$75,2,FALSE()),0)-(SUMIF($U$5:$U79,V80,$AK$5:$AK79)+SUMIF($V$5:$V79,V80,$AL$5:$AL79)+SUMIF($Y$5:$Y79,V80,$AA$5:$AA79)+SUMIF($AC$5:$AC79,V80,$AE$5:$AE79))),"")</f>
        <v/>
      </c>
      <c r="AJ80" s="23" t="str">
        <f t="shared" si="61"/>
        <v/>
      </c>
      <c r="AK80" s="21" t="str">
        <f t="shared" si="62"/>
        <v/>
      </c>
      <c r="AL80" s="22" t="str">
        <f t="shared" si="63"/>
        <v/>
      </c>
    </row>
    <row r="81" spans="1:38" ht="18" customHeight="1" x14ac:dyDescent="0.3">
      <c r="A81" s="3"/>
      <c r="B81" s="50"/>
      <c r="C81" s="4"/>
      <c r="D81" s="5"/>
      <c r="E81" s="5"/>
      <c r="F81" s="6"/>
      <c r="G81" s="6"/>
      <c r="H81" s="7"/>
      <c r="I81" s="8" t="str">
        <f t="shared" si="48"/>
        <v/>
      </c>
      <c r="J81" s="9" t="str">
        <f t="shared" si="49"/>
        <v/>
      </c>
      <c r="K81" s="10" t="str">
        <f t="shared" si="50"/>
        <v/>
      </c>
      <c r="L81" s="11" t="str">
        <f t="shared" si="51"/>
        <v/>
      </c>
      <c r="M81" s="12" t="str">
        <f t="shared" si="52"/>
        <v/>
      </c>
      <c r="N81" s="13" t="str">
        <f t="shared" si="53"/>
        <v/>
      </c>
      <c r="O81" s="14" t="str">
        <f t="shared" si="54"/>
        <v/>
      </c>
      <c r="P81" s="15"/>
      <c r="Q81" s="16" t="str">
        <f t="shared" si="64"/>
        <v/>
      </c>
      <c r="R81" s="16" t="str">
        <f t="shared" si="65"/>
        <v/>
      </c>
      <c r="S81" s="17" t="str">
        <f t="shared" si="66"/>
        <v/>
      </c>
      <c r="T81" s="17" t="str">
        <f t="shared" si="67"/>
        <v/>
      </c>
      <c r="U81" s="16" t="str">
        <f t="shared" si="55"/>
        <v/>
      </c>
      <c r="V81" s="17" t="str">
        <f t="shared" si="56"/>
        <v/>
      </c>
      <c r="W81" s="18">
        <f t="shared" si="68"/>
        <v>0</v>
      </c>
      <c r="X81" s="18">
        <f t="shared" si="69"/>
        <v>0</v>
      </c>
      <c r="Y81" s="18" t="str">
        <f t="shared" si="70"/>
        <v/>
      </c>
      <c r="Z81" s="19">
        <f>IF(W81=1,MAX(0,MIN(Settings!$B$6,(IFERROR(VLOOKUP(U80,'Bucket Status'!$A$4:$B$75,2,FALSE()),0)-(SUMIF($U$5:$U80,U80,$AK$5:$AK80)+SUMIF($V$5:$V80,U80,$AL$5:$AL80)+SUMIF($Y$5:$Y80,U80,$AA$5:$AA80)+SUMIF($AC$5:$AC80,U80,$AE$5:$AE80))))),IF(AB80&gt;0,AB80,0))</f>
        <v>0</v>
      </c>
      <c r="AA81" s="19">
        <f t="shared" si="57"/>
        <v>0</v>
      </c>
      <c r="AB81" s="19">
        <f t="shared" si="58"/>
        <v>0</v>
      </c>
      <c r="AC81" s="18" t="str">
        <f t="shared" si="71"/>
        <v/>
      </c>
      <c r="AD81" s="19">
        <f>IF(X81=1,MAX(0,MIN(Settings!$B$6-Z81,(IFERROR(VLOOKUP(V80,'Bucket Status'!$A$4:$B$75,2,FALSE()),0)-(SUMIF($U$5:$U80,V80,$AK$5:$AK80)+SUMIF($V$5:$V80,V80,$AL$5:$AL80)+SUMIF($Y$5:$Y80,V80,$AA$5:$AA80)+SUMIF($AC$5:$AC80,V80,$AE$5:$AE80))))),IF(AF80&gt;0,AF80,0))</f>
        <v>0</v>
      </c>
      <c r="AE81" s="19">
        <f t="shared" si="59"/>
        <v>0</v>
      </c>
      <c r="AF81" s="19">
        <f t="shared" si="60"/>
        <v>0</v>
      </c>
      <c r="AG81" s="20">
        <f>IFERROR(IF(C81="Y",Settings!$B$4+Settings!$B$5,0),0)</f>
        <v>0</v>
      </c>
      <c r="AH81" s="21" t="str">
        <f>IFERROR(IF(U81="","",IFERROR(VLOOKUP(U81,'Bucket Status'!$A$4:$B$75,2,FALSE()),0)-(SUMIF($U$5:$U80,U81,$AK$5:$AK80)+SUMIF($V$5:$V80,U81,$AL$5:$AL80)+SUMIF($Y$5:$Y80,U81,$AA$5:$AA80)+SUMIF($AC$5:$AC80,U81,$AE$5:$AE80))),"")</f>
        <v/>
      </c>
      <c r="AI81" s="22" t="str">
        <f>IFERROR(IF(V81="","",IFERROR(VLOOKUP(V81,'Bucket Status'!$A$4:$B$75,2,FALSE()),0)-(SUMIF($U$5:$U80,V81,$AK$5:$AK80)+SUMIF($V$5:$V80,V81,$AL$5:$AL80)+SUMIF($Y$5:$Y80,V81,$AA$5:$AA80)+SUMIF($AC$5:$AC80,V81,$AE$5:$AE80))),"")</f>
        <v/>
      </c>
      <c r="AJ81" s="23" t="str">
        <f t="shared" si="61"/>
        <v/>
      </c>
      <c r="AK81" s="21" t="str">
        <f t="shared" si="62"/>
        <v/>
      </c>
      <c r="AL81" s="22" t="str">
        <f t="shared" si="63"/>
        <v/>
      </c>
    </row>
    <row r="82" spans="1:38" ht="18" customHeight="1" x14ac:dyDescent="0.3">
      <c r="A82" s="3"/>
      <c r="B82" s="50"/>
      <c r="C82" s="4"/>
      <c r="D82" s="5"/>
      <c r="E82" s="5"/>
      <c r="F82" s="6"/>
      <c r="G82" s="6"/>
      <c r="H82" s="7"/>
      <c r="I82" s="8" t="str">
        <f t="shared" si="48"/>
        <v/>
      </c>
      <c r="J82" s="9" t="str">
        <f t="shared" si="49"/>
        <v/>
      </c>
      <c r="K82" s="10" t="str">
        <f t="shared" si="50"/>
        <v/>
      </c>
      <c r="L82" s="11" t="str">
        <f t="shared" si="51"/>
        <v/>
      </c>
      <c r="M82" s="12" t="str">
        <f t="shared" si="52"/>
        <v/>
      </c>
      <c r="N82" s="13" t="str">
        <f t="shared" si="53"/>
        <v/>
      </c>
      <c r="O82" s="14" t="str">
        <f t="shared" si="54"/>
        <v/>
      </c>
      <c r="P82" s="15"/>
      <c r="Q82" s="16" t="str">
        <f t="shared" si="64"/>
        <v/>
      </c>
      <c r="R82" s="16" t="str">
        <f t="shared" si="65"/>
        <v/>
      </c>
      <c r="S82" s="17" t="str">
        <f t="shared" si="66"/>
        <v/>
      </c>
      <c r="T82" s="17" t="str">
        <f t="shared" si="67"/>
        <v/>
      </c>
      <c r="U82" s="16" t="str">
        <f t="shared" si="55"/>
        <v/>
      </c>
      <c r="V82" s="17" t="str">
        <f t="shared" si="56"/>
        <v/>
      </c>
      <c r="W82" s="18">
        <f t="shared" si="68"/>
        <v>0</v>
      </c>
      <c r="X82" s="18">
        <f t="shared" si="69"/>
        <v>0</v>
      </c>
      <c r="Y82" s="18" t="str">
        <f t="shared" si="70"/>
        <v/>
      </c>
      <c r="Z82" s="19">
        <f>IF(W82=1,MAX(0,MIN(Settings!$B$6,(IFERROR(VLOOKUP(U81,'Bucket Status'!$A$4:$B$75,2,FALSE()),0)-(SUMIF($U$5:$U81,U81,$AK$5:$AK81)+SUMIF($V$5:$V81,U81,$AL$5:$AL81)+SUMIF($Y$5:$Y81,U81,$AA$5:$AA81)+SUMIF($AC$5:$AC81,U81,$AE$5:$AE81))))),IF(AB81&gt;0,AB81,0))</f>
        <v>0</v>
      </c>
      <c r="AA82" s="19">
        <f t="shared" si="57"/>
        <v>0</v>
      </c>
      <c r="AB82" s="19">
        <f t="shared" si="58"/>
        <v>0</v>
      </c>
      <c r="AC82" s="18" t="str">
        <f t="shared" si="71"/>
        <v/>
      </c>
      <c r="AD82" s="19">
        <f>IF(X82=1,MAX(0,MIN(Settings!$B$6-Z82,(IFERROR(VLOOKUP(V81,'Bucket Status'!$A$4:$B$75,2,FALSE()),0)-(SUMIF($U$5:$U81,V81,$AK$5:$AK81)+SUMIF($V$5:$V81,V81,$AL$5:$AL81)+SUMIF($Y$5:$Y81,V81,$AA$5:$AA81)+SUMIF($AC$5:$AC81,V81,$AE$5:$AE81))))),IF(AF81&gt;0,AF81,0))</f>
        <v>0</v>
      </c>
      <c r="AE82" s="19">
        <f t="shared" si="59"/>
        <v>0</v>
      </c>
      <c r="AF82" s="19">
        <f t="shared" si="60"/>
        <v>0</v>
      </c>
      <c r="AG82" s="20">
        <f>IFERROR(IF(C82="Y",Settings!$B$4+Settings!$B$5,0),0)</f>
        <v>0</v>
      </c>
      <c r="AH82" s="21" t="str">
        <f>IFERROR(IF(U82="","",IFERROR(VLOOKUP(U82,'Bucket Status'!$A$4:$B$75,2,FALSE()),0)-(SUMIF($U$5:$U81,U82,$AK$5:$AK81)+SUMIF($V$5:$V81,U82,$AL$5:$AL81)+SUMIF($Y$5:$Y81,U82,$AA$5:$AA81)+SUMIF($AC$5:$AC81,U82,$AE$5:$AE81))),"")</f>
        <v/>
      </c>
      <c r="AI82" s="22" t="str">
        <f>IFERROR(IF(V82="","",IFERROR(VLOOKUP(V82,'Bucket Status'!$A$4:$B$75,2,FALSE()),0)-(SUMIF($U$5:$U81,V82,$AK$5:$AK81)+SUMIF($V$5:$V81,V82,$AL$5:$AL81)+SUMIF($Y$5:$Y81,V82,$AA$5:$AA81)+SUMIF($AC$5:$AC81,V82,$AE$5:$AE81))),"")</f>
        <v/>
      </c>
      <c r="AJ82" s="23" t="str">
        <f t="shared" si="61"/>
        <v/>
      </c>
      <c r="AK82" s="21" t="str">
        <f t="shared" si="62"/>
        <v/>
      </c>
      <c r="AL82" s="22" t="str">
        <f t="shared" si="63"/>
        <v/>
      </c>
    </row>
    <row r="83" spans="1:38" ht="18" customHeight="1" x14ac:dyDescent="0.3">
      <c r="A83" s="3"/>
      <c r="B83" s="50"/>
      <c r="C83" s="4"/>
      <c r="D83" s="5"/>
      <c r="E83" s="5"/>
      <c r="F83" s="6"/>
      <c r="G83" s="6"/>
      <c r="H83" s="7"/>
      <c r="I83" s="8" t="str">
        <f t="shared" si="48"/>
        <v/>
      </c>
      <c r="J83" s="9" t="str">
        <f t="shared" si="49"/>
        <v/>
      </c>
      <c r="K83" s="10" t="str">
        <f t="shared" si="50"/>
        <v/>
      </c>
      <c r="L83" s="11" t="str">
        <f t="shared" si="51"/>
        <v/>
      </c>
      <c r="M83" s="12" t="str">
        <f t="shared" si="52"/>
        <v/>
      </c>
      <c r="N83" s="13" t="str">
        <f t="shared" si="53"/>
        <v/>
      </c>
      <c r="O83" s="14" t="str">
        <f t="shared" si="54"/>
        <v/>
      </c>
      <c r="P83" s="15"/>
      <c r="Q83" s="16" t="str">
        <f t="shared" si="64"/>
        <v/>
      </c>
      <c r="R83" s="16" t="str">
        <f t="shared" si="65"/>
        <v/>
      </c>
      <c r="S83" s="17" t="str">
        <f t="shared" si="66"/>
        <v/>
      </c>
      <c r="T83" s="17" t="str">
        <f t="shared" si="67"/>
        <v/>
      </c>
      <c r="U83" s="16" t="str">
        <f t="shared" si="55"/>
        <v/>
      </c>
      <c r="V83" s="17" t="str">
        <f t="shared" si="56"/>
        <v/>
      </c>
      <c r="W83" s="18">
        <f t="shared" si="68"/>
        <v>0</v>
      </c>
      <c r="X83" s="18">
        <f t="shared" si="69"/>
        <v>0</v>
      </c>
      <c r="Y83" s="18" t="str">
        <f t="shared" si="70"/>
        <v/>
      </c>
      <c r="Z83" s="19">
        <f>IF(W83=1,MAX(0,MIN(Settings!$B$6,(IFERROR(VLOOKUP(U82,'Bucket Status'!$A$4:$B$75,2,FALSE()),0)-(SUMIF($U$5:$U82,U82,$AK$5:$AK82)+SUMIF($V$5:$V82,U82,$AL$5:$AL82)+SUMIF($Y$5:$Y82,U82,$AA$5:$AA82)+SUMIF($AC$5:$AC82,U82,$AE$5:$AE82))))),IF(AB82&gt;0,AB82,0))</f>
        <v>0</v>
      </c>
      <c r="AA83" s="19">
        <f t="shared" si="57"/>
        <v>0</v>
      </c>
      <c r="AB83" s="19">
        <f t="shared" si="58"/>
        <v>0</v>
      </c>
      <c r="AC83" s="18" t="str">
        <f t="shared" si="71"/>
        <v/>
      </c>
      <c r="AD83" s="19">
        <f>IF(X83=1,MAX(0,MIN(Settings!$B$6-Z83,(IFERROR(VLOOKUP(V82,'Bucket Status'!$A$4:$B$75,2,FALSE()),0)-(SUMIF($U$5:$U82,V82,$AK$5:$AK82)+SUMIF($V$5:$V82,V82,$AL$5:$AL82)+SUMIF($Y$5:$Y82,V82,$AA$5:$AA82)+SUMIF($AC$5:$AC82,V82,$AE$5:$AE82))))),IF(AF82&gt;0,AF82,0))</f>
        <v>0</v>
      </c>
      <c r="AE83" s="19">
        <f t="shared" si="59"/>
        <v>0</v>
      </c>
      <c r="AF83" s="19">
        <f t="shared" si="60"/>
        <v>0</v>
      </c>
      <c r="AG83" s="20">
        <f>IFERROR(IF(C83="Y",Settings!$B$4+Settings!$B$5,0),0)</f>
        <v>0</v>
      </c>
      <c r="AH83" s="21" t="str">
        <f>IFERROR(IF(U83="","",IFERROR(VLOOKUP(U83,'Bucket Status'!$A$4:$B$75,2,FALSE()),0)-(SUMIF($U$5:$U82,U83,$AK$5:$AK82)+SUMIF($V$5:$V82,U83,$AL$5:$AL82)+SUMIF($Y$5:$Y82,U83,$AA$5:$AA82)+SUMIF($AC$5:$AC82,U83,$AE$5:$AE82))),"")</f>
        <v/>
      </c>
      <c r="AI83" s="22" t="str">
        <f>IFERROR(IF(V83="","",IFERROR(VLOOKUP(V83,'Bucket Status'!$A$4:$B$75,2,FALSE()),0)-(SUMIF($U$5:$U82,V83,$AK$5:$AK82)+SUMIF($V$5:$V82,V83,$AL$5:$AL82)+SUMIF($Y$5:$Y82,V83,$AA$5:$AA82)+SUMIF($AC$5:$AC82,V83,$AE$5:$AE82))),"")</f>
        <v/>
      </c>
      <c r="AJ83" s="23" t="str">
        <f t="shared" si="61"/>
        <v/>
      </c>
      <c r="AK83" s="21" t="str">
        <f t="shared" si="62"/>
        <v/>
      </c>
      <c r="AL83" s="22" t="str">
        <f t="shared" si="63"/>
        <v/>
      </c>
    </row>
    <row r="84" spans="1:38" ht="18" customHeight="1" x14ac:dyDescent="0.3">
      <c r="A84" s="3"/>
      <c r="B84" s="50"/>
      <c r="C84" s="4"/>
      <c r="D84" s="5"/>
      <c r="E84" s="5"/>
      <c r="F84" s="6"/>
      <c r="G84" s="6"/>
      <c r="H84" s="7"/>
      <c r="I84" s="8" t="str">
        <f t="shared" si="48"/>
        <v/>
      </c>
      <c r="J84" s="9" t="str">
        <f t="shared" si="49"/>
        <v/>
      </c>
      <c r="K84" s="10" t="str">
        <f t="shared" si="50"/>
        <v/>
      </c>
      <c r="L84" s="11" t="str">
        <f t="shared" si="51"/>
        <v/>
      </c>
      <c r="M84" s="12" t="str">
        <f t="shared" si="52"/>
        <v/>
      </c>
      <c r="N84" s="13" t="str">
        <f t="shared" si="53"/>
        <v/>
      </c>
      <c r="O84" s="14" t="str">
        <f t="shared" si="54"/>
        <v/>
      </c>
      <c r="P84" s="15"/>
      <c r="Q84" s="16" t="str">
        <f t="shared" si="64"/>
        <v/>
      </c>
      <c r="R84" s="16" t="str">
        <f t="shared" si="65"/>
        <v/>
      </c>
      <c r="S84" s="17" t="str">
        <f t="shared" si="66"/>
        <v/>
      </c>
      <c r="T84" s="17" t="str">
        <f t="shared" si="67"/>
        <v/>
      </c>
      <c r="U84" s="16" t="str">
        <f t="shared" si="55"/>
        <v/>
      </c>
      <c r="V84" s="17" t="str">
        <f t="shared" si="56"/>
        <v/>
      </c>
      <c r="W84" s="18">
        <f t="shared" si="68"/>
        <v>0</v>
      </c>
      <c r="X84" s="18">
        <f t="shared" si="69"/>
        <v>0</v>
      </c>
      <c r="Y84" s="18" t="str">
        <f t="shared" si="70"/>
        <v/>
      </c>
      <c r="Z84" s="19">
        <f>IF(W84=1,MAX(0,MIN(Settings!$B$6,(IFERROR(VLOOKUP(U83,'Bucket Status'!$A$4:$B$75,2,FALSE()),0)-(SUMIF($U$5:$U83,U83,$AK$5:$AK83)+SUMIF($V$5:$V83,U83,$AL$5:$AL83)+SUMIF($Y$5:$Y83,U83,$AA$5:$AA83)+SUMIF($AC$5:$AC83,U83,$AE$5:$AE83))))),IF(AB83&gt;0,AB83,0))</f>
        <v>0</v>
      </c>
      <c r="AA84" s="19">
        <f t="shared" si="57"/>
        <v>0</v>
      </c>
      <c r="AB84" s="19">
        <f t="shared" si="58"/>
        <v>0</v>
      </c>
      <c r="AC84" s="18" t="str">
        <f t="shared" si="71"/>
        <v/>
      </c>
      <c r="AD84" s="19">
        <f>IF(X84=1,MAX(0,MIN(Settings!$B$6-Z84,(IFERROR(VLOOKUP(V83,'Bucket Status'!$A$4:$B$75,2,FALSE()),0)-(SUMIF($U$5:$U83,V83,$AK$5:$AK83)+SUMIF($V$5:$V83,V83,$AL$5:$AL83)+SUMIF($Y$5:$Y83,V83,$AA$5:$AA83)+SUMIF($AC$5:$AC83,V83,$AE$5:$AE83))))),IF(AF83&gt;0,AF83,0))</f>
        <v>0</v>
      </c>
      <c r="AE84" s="19">
        <f t="shared" si="59"/>
        <v>0</v>
      </c>
      <c r="AF84" s="19">
        <f t="shared" si="60"/>
        <v>0</v>
      </c>
      <c r="AG84" s="20">
        <f>IFERROR(IF(C84="Y",Settings!$B$4+Settings!$B$5,0),0)</f>
        <v>0</v>
      </c>
      <c r="AH84" s="21" t="str">
        <f>IFERROR(IF(U84="","",IFERROR(VLOOKUP(U84,'Bucket Status'!$A$4:$B$75,2,FALSE()),0)-(SUMIF($U$5:$U83,U84,$AK$5:$AK83)+SUMIF($V$5:$V83,U84,$AL$5:$AL83)+SUMIF($Y$5:$Y83,U84,$AA$5:$AA83)+SUMIF($AC$5:$AC83,U84,$AE$5:$AE83))),"")</f>
        <v/>
      </c>
      <c r="AI84" s="22" t="str">
        <f>IFERROR(IF(V84="","",IFERROR(VLOOKUP(V84,'Bucket Status'!$A$4:$B$75,2,FALSE()),0)-(SUMIF($U$5:$U83,V84,$AK$5:$AK83)+SUMIF($V$5:$V83,V84,$AL$5:$AL83)+SUMIF($Y$5:$Y83,V84,$AA$5:$AA83)+SUMIF($AC$5:$AC83,V84,$AE$5:$AE83))),"")</f>
        <v/>
      </c>
      <c r="AJ84" s="23" t="str">
        <f t="shared" si="61"/>
        <v/>
      </c>
      <c r="AK84" s="21" t="str">
        <f t="shared" si="62"/>
        <v/>
      </c>
      <c r="AL84" s="22" t="str">
        <f t="shared" si="63"/>
        <v/>
      </c>
    </row>
    <row r="85" spans="1:38" ht="18" customHeight="1" x14ac:dyDescent="0.3">
      <c r="A85" s="3"/>
      <c r="B85" s="50"/>
      <c r="C85" s="4"/>
      <c r="D85" s="5"/>
      <c r="E85" s="5"/>
      <c r="F85" s="6"/>
      <c r="G85" s="6"/>
      <c r="H85" s="7"/>
      <c r="I85" s="8" t="str">
        <f t="shared" si="48"/>
        <v/>
      </c>
      <c r="J85" s="9" t="str">
        <f t="shared" si="49"/>
        <v/>
      </c>
      <c r="K85" s="10" t="str">
        <f t="shared" si="50"/>
        <v/>
      </c>
      <c r="L85" s="11" t="str">
        <f t="shared" si="51"/>
        <v/>
      </c>
      <c r="M85" s="12" t="str">
        <f t="shared" si="52"/>
        <v/>
      </c>
      <c r="N85" s="13" t="str">
        <f t="shared" si="53"/>
        <v/>
      </c>
      <c r="O85" s="14" t="str">
        <f t="shared" si="54"/>
        <v/>
      </c>
      <c r="P85" s="15"/>
      <c r="Q85" s="16" t="str">
        <f t="shared" si="64"/>
        <v/>
      </c>
      <c r="R85" s="16" t="str">
        <f t="shared" si="65"/>
        <v/>
      </c>
      <c r="S85" s="17" t="str">
        <f t="shared" si="66"/>
        <v/>
      </c>
      <c r="T85" s="17" t="str">
        <f t="shared" si="67"/>
        <v/>
      </c>
      <c r="U85" s="16" t="str">
        <f t="shared" si="55"/>
        <v/>
      </c>
      <c r="V85" s="17" t="str">
        <f t="shared" si="56"/>
        <v/>
      </c>
      <c r="W85" s="18">
        <f t="shared" si="68"/>
        <v>0</v>
      </c>
      <c r="X85" s="18">
        <f t="shared" si="69"/>
        <v>0</v>
      </c>
      <c r="Y85" s="18" t="str">
        <f t="shared" si="70"/>
        <v/>
      </c>
      <c r="Z85" s="19">
        <f>IF(W85=1,MAX(0,MIN(Settings!$B$6,(IFERROR(VLOOKUP(U84,'Bucket Status'!$A$4:$B$75,2,FALSE()),0)-(SUMIF($U$5:$U84,U84,$AK$5:$AK84)+SUMIF($V$5:$V84,U84,$AL$5:$AL84)+SUMIF($Y$5:$Y84,U84,$AA$5:$AA84)+SUMIF($AC$5:$AC84,U84,$AE$5:$AE84))))),IF(AB84&gt;0,AB84,0))</f>
        <v>0</v>
      </c>
      <c r="AA85" s="19">
        <f t="shared" si="57"/>
        <v>0</v>
      </c>
      <c r="AB85" s="19">
        <f t="shared" si="58"/>
        <v>0</v>
      </c>
      <c r="AC85" s="18" t="str">
        <f t="shared" si="71"/>
        <v/>
      </c>
      <c r="AD85" s="19">
        <f>IF(X85=1,MAX(0,MIN(Settings!$B$6-Z85,(IFERROR(VLOOKUP(V84,'Bucket Status'!$A$4:$B$75,2,FALSE()),0)-(SUMIF($U$5:$U84,V84,$AK$5:$AK84)+SUMIF($V$5:$V84,V84,$AL$5:$AL84)+SUMIF($Y$5:$Y84,V84,$AA$5:$AA84)+SUMIF($AC$5:$AC84,V84,$AE$5:$AE84))))),IF(AF84&gt;0,AF84,0))</f>
        <v>0</v>
      </c>
      <c r="AE85" s="19">
        <f t="shared" si="59"/>
        <v>0</v>
      </c>
      <c r="AF85" s="19">
        <f t="shared" si="60"/>
        <v>0</v>
      </c>
      <c r="AG85" s="20">
        <f>IFERROR(IF(C85="Y",Settings!$B$4+Settings!$B$5,0),0)</f>
        <v>0</v>
      </c>
      <c r="AH85" s="21" t="str">
        <f>IFERROR(IF(U85="","",IFERROR(VLOOKUP(U85,'Bucket Status'!$A$4:$B$75,2,FALSE()),0)-(SUMIF($U$5:$U84,U85,$AK$5:$AK84)+SUMIF($V$5:$V84,U85,$AL$5:$AL84)+SUMIF($Y$5:$Y84,U85,$AA$5:$AA84)+SUMIF($AC$5:$AC84,U85,$AE$5:$AE84))),"")</f>
        <v/>
      </c>
      <c r="AI85" s="22" t="str">
        <f>IFERROR(IF(V85="","",IFERROR(VLOOKUP(V85,'Bucket Status'!$A$4:$B$75,2,FALSE()),0)-(SUMIF($U$5:$U84,V85,$AK$5:$AK84)+SUMIF($V$5:$V84,V85,$AL$5:$AL84)+SUMIF($Y$5:$Y84,V85,$AA$5:$AA84)+SUMIF($AC$5:$AC84,V85,$AE$5:$AE84))),"")</f>
        <v/>
      </c>
      <c r="AJ85" s="23" t="str">
        <f t="shared" si="61"/>
        <v/>
      </c>
      <c r="AK85" s="21" t="str">
        <f t="shared" si="62"/>
        <v/>
      </c>
      <c r="AL85" s="22" t="str">
        <f t="shared" si="63"/>
        <v/>
      </c>
    </row>
    <row r="86" spans="1:38" ht="18" customHeight="1" x14ac:dyDescent="0.3">
      <c r="A86" s="3"/>
      <c r="B86" s="50"/>
      <c r="C86" s="4"/>
      <c r="D86" s="5"/>
      <c r="E86" s="5"/>
      <c r="F86" s="6"/>
      <c r="G86" s="6"/>
      <c r="H86" s="7"/>
      <c r="I86" s="8" t="str">
        <f t="shared" si="48"/>
        <v/>
      </c>
      <c r="J86" s="9" t="str">
        <f t="shared" si="49"/>
        <v/>
      </c>
      <c r="K86" s="10" t="str">
        <f t="shared" si="50"/>
        <v/>
      </c>
      <c r="L86" s="11" t="str">
        <f t="shared" si="51"/>
        <v/>
      </c>
      <c r="M86" s="12" t="str">
        <f t="shared" si="52"/>
        <v/>
      </c>
      <c r="N86" s="13" t="str">
        <f t="shared" si="53"/>
        <v/>
      </c>
      <c r="O86" s="14" t="str">
        <f t="shared" si="54"/>
        <v/>
      </c>
      <c r="P86" s="15"/>
      <c r="Q86" s="16" t="str">
        <f t="shared" si="64"/>
        <v/>
      </c>
      <c r="R86" s="16" t="str">
        <f t="shared" si="65"/>
        <v/>
      </c>
      <c r="S86" s="17" t="str">
        <f t="shared" si="66"/>
        <v/>
      </c>
      <c r="T86" s="17" t="str">
        <f t="shared" si="67"/>
        <v/>
      </c>
      <c r="U86" s="16" t="str">
        <f t="shared" si="55"/>
        <v/>
      </c>
      <c r="V86" s="17" t="str">
        <f t="shared" si="56"/>
        <v/>
      </c>
      <c r="W86" s="18">
        <f t="shared" si="68"/>
        <v>0</v>
      </c>
      <c r="X86" s="18">
        <f t="shared" si="69"/>
        <v>0</v>
      </c>
      <c r="Y86" s="18" t="str">
        <f t="shared" si="70"/>
        <v/>
      </c>
      <c r="Z86" s="19">
        <f>IF(W86=1,MAX(0,MIN(Settings!$B$6,(IFERROR(VLOOKUP(U85,'Bucket Status'!$A$4:$B$75,2,FALSE()),0)-(SUMIF($U$5:$U85,U85,$AK$5:$AK85)+SUMIF($V$5:$V85,U85,$AL$5:$AL85)+SUMIF($Y$5:$Y85,U85,$AA$5:$AA85)+SUMIF($AC$5:$AC85,U85,$AE$5:$AE85))))),IF(AB85&gt;0,AB85,0))</f>
        <v>0</v>
      </c>
      <c r="AA86" s="19">
        <f t="shared" si="57"/>
        <v>0</v>
      </c>
      <c r="AB86" s="19">
        <f t="shared" si="58"/>
        <v>0</v>
      </c>
      <c r="AC86" s="18" t="str">
        <f t="shared" si="71"/>
        <v/>
      </c>
      <c r="AD86" s="19">
        <f>IF(X86=1,MAX(0,MIN(Settings!$B$6-Z86,(IFERROR(VLOOKUP(V85,'Bucket Status'!$A$4:$B$75,2,FALSE()),0)-(SUMIF($U$5:$U85,V85,$AK$5:$AK85)+SUMIF($V$5:$V85,V85,$AL$5:$AL85)+SUMIF($Y$5:$Y85,V85,$AA$5:$AA85)+SUMIF($AC$5:$AC85,V85,$AE$5:$AE85))))),IF(AF85&gt;0,AF85,0))</f>
        <v>0</v>
      </c>
      <c r="AE86" s="19">
        <f t="shared" si="59"/>
        <v>0</v>
      </c>
      <c r="AF86" s="19">
        <f t="shared" si="60"/>
        <v>0</v>
      </c>
      <c r="AG86" s="20">
        <f>IFERROR(IF(C86="Y",Settings!$B$4+Settings!$B$5,0),0)</f>
        <v>0</v>
      </c>
      <c r="AH86" s="21" t="str">
        <f>IFERROR(IF(U86="","",IFERROR(VLOOKUP(U86,'Bucket Status'!$A$4:$B$75,2,FALSE()),0)-(SUMIF($U$5:$U85,U86,$AK$5:$AK85)+SUMIF($V$5:$V85,U86,$AL$5:$AL85)+SUMIF($Y$5:$Y85,U86,$AA$5:$AA85)+SUMIF($AC$5:$AC85,U86,$AE$5:$AE85))),"")</f>
        <v/>
      </c>
      <c r="AI86" s="22" t="str">
        <f>IFERROR(IF(V86="","",IFERROR(VLOOKUP(V86,'Bucket Status'!$A$4:$B$75,2,FALSE()),0)-(SUMIF($U$5:$U85,V86,$AK$5:$AK85)+SUMIF($V$5:$V85,V86,$AL$5:$AL85)+SUMIF($Y$5:$Y85,V86,$AA$5:$AA85)+SUMIF($AC$5:$AC85,V86,$AE$5:$AE85))),"")</f>
        <v/>
      </c>
      <c r="AJ86" s="23" t="str">
        <f t="shared" si="61"/>
        <v/>
      </c>
      <c r="AK86" s="21" t="str">
        <f t="shared" si="62"/>
        <v/>
      </c>
      <c r="AL86" s="22" t="str">
        <f t="shared" si="63"/>
        <v/>
      </c>
    </row>
    <row r="87" spans="1:38" ht="18" customHeight="1" x14ac:dyDescent="0.3">
      <c r="A87" s="3"/>
      <c r="B87" s="50"/>
      <c r="C87" s="4"/>
      <c r="D87" s="5"/>
      <c r="E87" s="5"/>
      <c r="F87" s="6"/>
      <c r="G87" s="6"/>
      <c r="H87" s="7"/>
      <c r="I87" s="8" t="str">
        <f t="shared" si="48"/>
        <v/>
      </c>
      <c r="J87" s="9" t="str">
        <f t="shared" si="49"/>
        <v/>
      </c>
      <c r="K87" s="10" t="str">
        <f t="shared" si="50"/>
        <v/>
      </c>
      <c r="L87" s="11" t="str">
        <f t="shared" si="51"/>
        <v/>
      </c>
      <c r="M87" s="12" t="str">
        <f t="shared" si="52"/>
        <v/>
      </c>
      <c r="N87" s="13" t="str">
        <f t="shared" si="53"/>
        <v/>
      </c>
      <c r="O87" s="14" t="str">
        <f t="shared" si="54"/>
        <v/>
      </c>
      <c r="P87" s="15"/>
      <c r="Q87" s="16" t="str">
        <f t="shared" si="64"/>
        <v/>
      </c>
      <c r="R87" s="16" t="str">
        <f t="shared" si="65"/>
        <v/>
      </c>
      <c r="S87" s="17" t="str">
        <f t="shared" si="66"/>
        <v/>
      </c>
      <c r="T87" s="17" t="str">
        <f t="shared" si="67"/>
        <v/>
      </c>
      <c r="U87" s="16" t="str">
        <f t="shared" si="55"/>
        <v/>
      </c>
      <c r="V87" s="17" t="str">
        <f t="shared" si="56"/>
        <v/>
      </c>
      <c r="W87" s="18">
        <f t="shared" si="68"/>
        <v>0</v>
      </c>
      <c r="X87" s="18">
        <f t="shared" si="69"/>
        <v>0</v>
      </c>
      <c r="Y87" s="18" t="str">
        <f t="shared" si="70"/>
        <v/>
      </c>
      <c r="Z87" s="19">
        <f>IF(W87=1,MAX(0,MIN(Settings!$B$6,(IFERROR(VLOOKUP(U86,'Bucket Status'!$A$4:$B$75,2,FALSE()),0)-(SUMIF($U$5:$U86,U86,$AK$5:$AK86)+SUMIF($V$5:$V86,U86,$AL$5:$AL86)+SUMIF($Y$5:$Y86,U86,$AA$5:$AA86)+SUMIF($AC$5:$AC86,U86,$AE$5:$AE86))))),IF(AB86&gt;0,AB86,0))</f>
        <v>0</v>
      </c>
      <c r="AA87" s="19">
        <f t="shared" si="57"/>
        <v>0</v>
      </c>
      <c r="AB87" s="19">
        <f t="shared" si="58"/>
        <v>0</v>
      </c>
      <c r="AC87" s="18" t="str">
        <f t="shared" si="71"/>
        <v/>
      </c>
      <c r="AD87" s="19">
        <f>IF(X87=1,MAX(0,MIN(Settings!$B$6-Z87,(IFERROR(VLOOKUP(V86,'Bucket Status'!$A$4:$B$75,2,FALSE()),0)-(SUMIF($U$5:$U86,V86,$AK$5:$AK86)+SUMIF($V$5:$V86,V86,$AL$5:$AL86)+SUMIF($Y$5:$Y86,V86,$AA$5:$AA86)+SUMIF($AC$5:$AC86,V86,$AE$5:$AE86))))),IF(AF86&gt;0,AF86,0))</f>
        <v>0</v>
      </c>
      <c r="AE87" s="19">
        <f t="shared" si="59"/>
        <v>0</v>
      </c>
      <c r="AF87" s="19">
        <f t="shared" si="60"/>
        <v>0</v>
      </c>
      <c r="AG87" s="20">
        <f>IFERROR(IF(C87="Y",Settings!$B$4+Settings!$B$5,0),0)</f>
        <v>0</v>
      </c>
      <c r="AH87" s="21" t="str">
        <f>IFERROR(IF(U87="","",IFERROR(VLOOKUP(U87,'Bucket Status'!$A$4:$B$75,2,FALSE()),0)-(SUMIF($U$5:$U86,U87,$AK$5:$AK86)+SUMIF($V$5:$V86,U87,$AL$5:$AL86)+SUMIF($Y$5:$Y86,U87,$AA$5:$AA86)+SUMIF($AC$5:$AC86,U87,$AE$5:$AE86))),"")</f>
        <v/>
      </c>
      <c r="AI87" s="22" t="str">
        <f>IFERROR(IF(V87="","",IFERROR(VLOOKUP(V87,'Bucket Status'!$A$4:$B$75,2,FALSE()),0)-(SUMIF($U$5:$U86,V87,$AK$5:$AK86)+SUMIF($V$5:$V86,V87,$AL$5:$AL86)+SUMIF($Y$5:$Y86,V87,$AA$5:$AA86)+SUMIF($AC$5:$AC86,V87,$AE$5:$AE86))),"")</f>
        <v/>
      </c>
      <c r="AJ87" s="23" t="str">
        <f t="shared" si="61"/>
        <v/>
      </c>
      <c r="AK87" s="21" t="str">
        <f t="shared" si="62"/>
        <v/>
      </c>
      <c r="AL87" s="22" t="str">
        <f t="shared" si="63"/>
        <v/>
      </c>
    </row>
    <row r="88" spans="1:38" ht="18" customHeight="1" x14ac:dyDescent="0.3">
      <c r="A88" s="3"/>
      <c r="B88" s="50"/>
      <c r="C88" s="4"/>
      <c r="D88" s="5"/>
      <c r="E88" s="5"/>
      <c r="F88" s="6"/>
      <c r="G88" s="6"/>
      <c r="H88" s="7"/>
      <c r="I88" s="8" t="str">
        <f t="shared" si="48"/>
        <v/>
      </c>
      <c r="J88" s="9" t="str">
        <f t="shared" si="49"/>
        <v/>
      </c>
      <c r="K88" s="10" t="str">
        <f t="shared" si="50"/>
        <v/>
      </c>
      <c r="L88" s="11" t="str">
        <f t="shared" si="51"/>
        <v/>
      </c>
      <c r="M88" s="12" t="str">
        <f t="shared" si="52"/>
        <v/>
      </c>
      <c r="N88" s="13" t="str">
        <f t="shared" si="53"/>
        <v/>
      </c>
      <c r="O88" s="14" t="str">
        <f t="shared" si="54"/>
        <v/>
      </c>
      <c r="P88" s="15"/>
      <c r="Q88" s="16" t="str">
        <f t="shared" si="64"/>
        <v/>
      </c>
      <c r="R88" s="16" t="str">
        <f t="shared" si="65"/>
        <v/>
      </c>
      <c r="S88" s="17" t="str">
        <f t="shared" si="66"/>
        <v/>
      </c>
      <c r="T88" s="17" t="str">
        <f t="shared" si="67"/>
        <v/>
      </c>
      <c r="U88" s="16" t="str">
        <f t="shared" si="55"/>
        <v/>
      </c>
      <c r="V88" s="17" t="str">
        <f t="shared" si="56"/>
        <v/>
      </c>
      <c r="W88" s="18">
        <f t="shared" si="68"/>
        <v>0</v>
      </c>
      <c r="X88" s="18">
        <f t="shared" si="69"/>
        <v>0</v>
      </c>
      <c r="Y88" s="18" t="str">
        <f t="shared" si="70"/>
        <v/>
      </c>
      <c r="Z88" s="19">
        <f>IF(W88=1,MAX(0,MIN(Settings!$B$6,(IFERROR(VLOOKUP(U87,'Bucket Status'!$A$4:$B$75,2,FALSE()),0)-(SUMIF($U$5:$U87,U87,$AK$5:$AK87)+SUMIF($V$5:$V87,U87,$AL$5:$AL87)+SUMIF($Y$5:$Y87,U87,$AA$5:$AA87)+SUMIF($AC$5:$AC87,U87,$AE$5:$AE87))))),IF(AB87&gt;0,AB87,0))</f>
        <v>0</v>
      </c>
      <c r="AA88" s="19">
        <f t="shared" si="57"/>
        <v>0</v>
      </c>
      <c r="AB88" s="19">
        <f t="shared" si="58"/>
        <v>0</v>
      </c>
      <c r="AC88" s="18" t="str">
        <f t="shared" si="71"/>
        <v/>
      </c>
      <c r="AD88" s="19">
        <f>IF(X88=1,MAX(0,MIN(Settings!$B$6-Z88,(IFERROR(VLOOKUP(V87,'Bucket Status'!$A$4:$B$75,2,FALSE()),0)-(SUMIF($U$5:$U87,V87,$AK$5:$AK87)+SUMIF($V$5:$V87,V87,$AL$5:$AL87)+SUMIF($Y$5:$Y87,V87,$AA$5:$AA87)+SUMIF($AC$5:$AC87,V87,$AE$5:$AE87))))),IF(AF87&gt;0,AF87,0))</f>
        <v>0</v>
      </c>
      <c r="AE88" s="19">
        <f t="shared" si="59"/>
        <v>0</v>
      </c>
      <c r="AF88" s="19">
        <f t="shared" si="60"/>
        <v>0</v>
      </c>
      <c r="AG88" s="20">
        <f>IFERROR(IF(C88="Y",Settings!$B$4+Settings!$B$5,0),0)</f>
        <v>0</v>
      </c>
      <c r="AH88" s="21" t="str">
        <f>IFERROR(IF(U88="","",IFERROR(VLOOKUP(U88,'Bucket Status'!$A$4:$B$75,2,FALSE()),0)-(SUMIF($U$5:$U87,U88,$AK$5:$AK87)+SUMIF($V$5:$V87,U88,$AL$5:$AL87)+SUMIF($Y$5:$Y87,U88,$AA$5:$AA87)+SUMIF($AC$5:$AC87,U88,$AE$5:$AE87))),"")</f>
        <v/>
      </c>
      <c r="AI88" s="22" t="str">
        <f>IFERROR(IF(V88="","",IFERROR(VLOOKUP(V88,'Bucket Status'!$A$4:$B$75,2,FALSE()),0)-(SUMIF($U$5:$U87,V88,$AK$5:$AK87)+SUMIF($V$5:$V87,V88,$AL$5:$AL87)+SUMIF($Y$5:$Y87,V88,$AA$5:$AA87)+SUMIF($AC$5:$AC87,V88,$AE$5:$AE87))),"")</f>
        <v/>
      </c>
      <c r="AJ88" s="23" t="str">
        <f t="shared" si="61"/>
        <v/>
      </c>
      <c r="AK88" s="21" t="str">
        <f t="shared" si="62"/>
        <v/>
      </c>
      <c r="AL88" s="22" t="str">
        <f t="shared" si="63"/>
        <v/>
      </c>
    </row>
    <row r="89" spans="1:38" ht="18" customHeight="1" x14ac:dyDescent="0.3">
      <c r="A89" s="3"/>
      <c r="B89" s="50"/>
      <c r="C89" s="4"/>
      <c r="D89" s="5"/>
      <c r="E89" s="5"/>
      <c r="F89" s="6"/>
      <c r="G89" s="6"/>
      <c r="H89" s="7"/>
      <c r="I89" s="8" t="str">
        <f t="shared" si="48"/>
        <v/>
      </c>
      <c r="J89" s="9" t="str">
        <f t="shared" si="49"/>
        <v/>
      </c>
      <c r="K89" s="10" t="str">
        <f t="shared" si="50"/>
        <v/>
      </c>
      <c r="L89" s="11" t="str">
        <f t="shared" si="51"/>
        <v/>
      </c>
      <c r="M89" s="12" t="str">
        <f t="shared" si="52"/>
        <v/>
      </c>
      <c r="N89" s="13" t="str">
        <f t="shared" si="53"/>
        <v/>
      </c>
      <c r="O89" s="14" t="str">
        <f t="shared" si="54"/>
        <v/>
      </c>
      <c r="P89" s="15"/>
      <c r="Q89" s="16" t="str">
        <f t="shared" si="64"/>
        <v/>
      </c>
      <c r="R89" s="16" t="str">
        <f t="shared" si="65"/>
        <v/>
      </c>
      <c r="S89" s="17" t="str">
        <f t="shared" si="66"/>
        <v/>
      </c>
      <c r="T89" s="17" t="str">
        <f t="shared" si="67"/>
        <v/>
      </c>
      <c r="U89" s="16" t="str">
        <f t="shared" si="55"/>
        <v/>
      </c>
      <c r="V89" s="17" t="str">
        <f t="shared" si="56"/>
        <v/>
      </c>
      <c r="W89" s="18">
        <f t="shared" si="68"/>
        <v>0</v>
      </c>
      <c r="X89" s="18">
        <f t="shared" si="69"/>
        <v>0</v>
      </c>
      <c r="Y89" s="18" t="str">
        <f t="shared" si="70"/>
        <v/>
      </c>
      <c r="Z89" s="19">
        <f>IF(W89=1,MAX(0,MIN(Settings!$B$6,(IFERROR(VLOOKUP(U88,'Bucket Status'!$A$4:$B$75,2,FALSE()),0)-(SUMIF($U$5:$U88,U88,$AK$5:$AK88)+SUMIF($V$5:$V88,U88,$AL$5:$AL88)+SUMIF($Y$5:$Y88,U88,$AA$5:$AA88)+SUMIF($AC$5:$AC88,U88,$AE$5:$AE88))))),IF(AB88&gt;0,AB88,0))</f>
        <v>0</v>
      </c>
      <c r="AA89" s="19">
        <f t="shared" si="57"/>
        <v>0</v>
      </c>
      <c r="AB89" s="19">
        <f t="shared" si="58"/>
        <v>0</v>
      </c>
      <c r="AC89" s="18" t="str">
        <f t="shared" si="71"/>
        <v/>
      </c>
      <c r="AD89" s="19">
        <f>IF(X89=1,MAX(0,MIN(Settings!$B$6-Z89,(IFERROR(VLOOKUP(V88,'Bucket Status'!$A$4:$B$75,2,FALSE()),0)-(SUMIF($U$5:$U88,V88,$AK$5:$AK88)+SUMIF($V$5:$V88,V88,$AL$5:$AL88)+SUMIF($Y$5:$Y88,V88,$AA$5:$AA88)+SUMIF($AC$5:$AC88,V88,$AE$5:$AE88))))),IF(AF88&gt;0,AF88,0))</f>
        <v>0</v>
      </c>
      <c r="AE89" s="19">
        <f t="shared" si="59"/>
        <v>0</v>
      </c>
      <c r="AF89" s="19">
        <f t="shared" si="60"/>
        <v>0</v>
      </c>
      <c r="AG89" s="20">
        <f>IFERROR(IF(C89="Y",Settings!$B$4+Settings!$B$5,0),0)</f>
        <v>0</v>
      </c>
      <c r="AH89" s="21" t="str">
        <f>IFERROR(IF(U89="","",IFERROR(VLOOKUP(U89,'Bucket Status'!$A$4:$B$75,2,FALSE()),0)-(SUMIF($U$5:$U88,U89,$AK$5:$AK88)+SUMIF($V$5:$V88,U89,$AL$5:$AL88)+SUMIF($Y$5:$Y88,U89,$AA$5:$AA88)+SUMIF($AC$5:$AC88,U89,$AE$5:$AE88))),"")</f>
        <v/>
      </c>
      <c r="AI89" s="22" t="str">
        <f>IFERROR(IF(V89="","",IFERROR(VLOOKUP(V89,'Bucket Status'!$A$4:$B$75,2,FALSE()),0)-(SUMIF($U$5:$U88,V89,$AK$5:$AK88)+SUMIF($V$5:$V88,V89,$AL$5:$AL88)+SUMIF($Y$5:$Y88,V89,$AA$5:$AA88)+SUMIF($AC$5:$AC88,V89,$AE$5:$AE88))),"")</f>
        <v/>
      </c>
      <c r="AJ89" s="23" t="str">
        <f t="shared" si="61"/>
        <v/>
      </c>
      <c r="AK89" s="21" t="str">
        <f t="shared" si="62"/>
        <v/>
      </c>
      <c r="AL89" s="22" t="str">
        <f t="shared" si="63"/>
        <v/>
      </c>
    </row>
    <row r="90" spans="1:38" ht="18" customHeight="1" x14ac:dyDescent="0.3">
      <c r="A90" s="3"/>
      <c r="B90" s="50"/>
      <c r="C90" s="4"/>
      <c r="D90" s="5"/>
      <c r="E90" s="5"/>
      <c r="F90" s="6"/>
      <c r="G90" s="6"/>
      <c r="H90" s="7"/>
      <c r="I90" s="8" t="str">
        <f t="shared" si="48"/>
        <v/>
      </c>
      <c r="J90" s="9" t="str">
        <f t="shared" si="49"/>
        <v/>
      </c>
      <c r="K90" s="10" t="str">
        <f t="shared" si="50"/>
        <v/>
      </c>
      <c r="L90" s="11" t="str">
        <f t="shared" si="51"/>
        <v/>
      </c>
      <c r="M90" s="12" t="str">
        <f t="shared" si="52"/>
        <v/>
      </c>
      <c r="N90" s="13" t="str">
        <f t="shared" si="53"/>
        <v/>
      </c>
      <c r="O90" s="14" t="str">
        <f t="shared" si="54"/>
        <v/>
      </c>
      <c r="P90" s="15"/>
      <c r="Q90" s="16" t="str">
        <f t="shared" si="64"/>
        <v/>
      </c>
      <c r="R90" s="16" t="str">
        <f t="shared" si="65"/>
        <v/>
      </c>
      <c r="S90" s="17" t="str">
        <f t="shared" si="66"/>
        <v/>
      </c>
      <c r="T90" s="17" t="str">
        <f t="shared" si="67"/>
        <v/>
      </c>
      <c r="U90" s="16" t="str">
        <f t="shared" si="55"/>
        <v/>
      </c>
      <c r="V90" s="17" t="str">
        <f t="shared" si="56"/>
        <v/>
      </c>
      <c r="W90" s="18">
        <f t="shared" si="68"/>
        <v>0</v>
      </c>
      <c r="X90" s="18">
        <f t="shared" si="69"/>
        <v>0</v>
      </c>
      <c r="Y90" s="18" t="str">
        <f t="shared" si="70"/>
        <v/>
      </c>
      <c r="Z90" s="19">
        <f>IF(W90=1,MAX(0,MIN(Settings!$B$6,(IFERROR(VLOOKUP(U89,'Bucket Status'!$A$4:$B$75,2,FALSE()),0)-(SUMIF($U$5:$U89,U89,$AK$5:$AK89)+SUMIF($V$5:$V89,U89,$AL$5:$AL89)+SUMIF($Y$5:$Y89,U89,$AA$5:$AA89)+SUMIF($AC$5:$AC89,U89,$AE$5:$AE89))))),IF(AB89&gt;0,AB89,0))</f>
        <v>0</v>
      </c>
      <c r="AA90" s="19">
        <f t="shared" si="57"/>
        <v>0</v>
      </c>
      <c r="AB90" s="19">
        <f t="shared" si="58"/>
        <v>0</v>
      </c>
      <c r="AC90" s="18" t="str">
        <f t="shared" si="71"/>
        <v/>
      </c>
      <c r="AD90" s="19">
        <f>IF(X90=1,MAX(0,MIN(Settings!$B$6-Z90,(IFERROR(VLOOKUP(V89,'Bucket Status'!$A$4:$B$75,2,FALSE()),0)-(SUMIF($U$5:$U89,V89,$AK$5:$AK89)+SUMIF($V$5:$V89,V89,$AL$5:$AL89)+SUMIF($Y$5:$Y89,V89,$AA$5:$AA89)+SUMIF($AC$5:$AC89,V89,$AE$5:$AE89))))),IF(AF89&gt;0,AF89,0))</f>
        <v>0</v>
      </c>
      <c r="AE90" s="19">
        <f t="shared" si="59"/>
        <v>0</v>
      </c>
      <c r="AF90" s="19">
        <f t="shared" si="60"/>
        <v>0</v>
      </c>
      <c r="AG90" s="20">
        <f>IFERROR(IF(C90="Y",Settings!$B$4+Settings!$B$5,0),0)</f>
        <v>0</v>
      </c>
      <c r="AH90" s="21" t="str">
        <f>IFERROR(IF(U90="","",IFERROR(VLOOKUP(U90,'Bucket Status'!$A$4:$B$75,2,FALSE()),0)-(SUMIF($U$5:$U89,U90,$AK$5:$AK89)+SUMIF($V$5:$V89,U90,$AL$5:$AL89)+SUMIF($Y$5:$Y89,U90,$AA$5:$AA89)+SUMIF($AC$5:$AC89,U90,$AE$5:$AE89))),"")</f>
        <v/>
      </c>
      <c r="AI90" s="22" t="str">
        <f>IFERROR(IF(V90="","",IFERROR(VLOOKUP(V90,'Bucket Status'!$A$4:$B$75,2,FALSE()),0)-(SUMIF($U$5:$U89,V90,$AK$5:$AK89)+SUMIF($V$5:$V89,V90,$AL$5:$AL89)+SUMIF($Y$5:$Y89,V90,$AA$5:$AA89)+SUMIF($AC$5:$AC89,V90,$AE$5:$AE89))),"")</f>
        <v/>
      </c>
      <c r="AJ90" s="23" t="str">
        <f t="shared" si="61"/>
        <v/>
      </c>
      <c r="AK90" s="21" t="str">
        <f t="shared" si="62"/>
        <v/>
      </c>
      <c r="AL90" s="22" t="str">
        <f t="shared" si="63"/>
        <v/>
      </c>
    </row>
    <row r="91" spans="1:38" ht="18" customHeight="1" x14ac:dyDescent="0.3">
      <c r="A91" s="3"/>
      <c r="B91" s="50"/>
      <c r="C91" s="4"/>
      <c r="D91" s="5"/>
      <c r="E91" s="5"/>
      <c r="F91" s="6"/>
      <c r="G91" s="6"/>
      <c r="H91" s="7"/>
      <c r="I91" s="8" t="str">
        <f t="shared" si="48"/>
        <v/>
      </c>
      <c r="J91" s="9" t="str">
        <f t="shared" si="49"/>
        <v/>
      </c>
      <c r="K91" s="10" t="str">
        <f t="shared" si="50"/>
        <v/>
      </c>
      <c r="L91" s="11" t="str">
        <f t="shared" si="51"/>
        <v/>
      </c>
      <c r="M91" s="12" t="str">
        <f t="shared" si="52"/>
        <v/>
      </c>
      <c r="N91" s="13" t="str">
        <f t="shared" si="53"/>
        <v/>
      </c>
      <c r="O91" s="14" t="str">
        <f t="shared" si="54"/>
        <v/>
      </c>
      <c r="P91" s="15"/>
      <c r="Q91" s="16" t="str">
        <f t="shared" si="64"/>
        <v/>
      </c>
      <c r="R91" s="16" t="str">
        <f t="shared" si="65"/>
        <v/>
      </c>
      <c r="S91" s="17" t="str">
        <f t="shared" si="66"/>
        <v/>
      </c>
      <c r="T91" s="17" t="str">
        <f t="shared" si="67"/>
        <v/>
      </c>
      <c r="U91" s="16" t="str">
        <f t="shared" si="55"/>
        <v/>
      </c>
      <c r="V91" s="17" t="str">
        <f t="shared" si="56"/>
        <v/>
      </c>
      <c r="W91" s="18">
        <f t="shared" si="68"/>
        <v>0</v>
      </c>
      <c r="X91" s="18">
        <f t="shared" si="69"/>
        <v>0</v>
      </c>
      <c r="Y91" s="18" t="str">
        <f t="shared" si="70"/>
        <v/>
      </c>
      <c r="Z91" s="19">
        <f>IF(W91=1,MAX(0,MIN(Settings!$B$6,(IFERROR(VLOOKUP(U90,'Bucket Status'!$A$4:$B$75,2,FALSE()),0)-(SUMIF($U$5:$U90,U90,$AK$5:$AK90)+SUMIF($V$5:$V90,U90,$AL$5:$AL90)+SUMIF($Y$5:$Y90,U90,$AA$5:$AA90)+SUMIF($AC$5:$AC90,U90,$AE$5:$AE90))))),IF(AB90&gt;0,AB90,0))</f>
        <v>0</v>
      </c>
      <c r="AA91" s="19">
        <f t="shared" si="57"/>
        <v>0</v>
      </c>
      <c r="AB91" s="19">
        <f t="shared" si="58"/>
        <v>0</v>
      </c>
      <c r="AC91" s="18" t="str">
        <f t="shared" si="71"/>
        <v/>
      </c>
      <c r="AD91" s="19">
        <f>IF(X91=1,MAX(0,MIN(Settings!$B$6-Z91,(IFERROR(VLOOKUP(V90,'Bucket Status'!$A$4:$B$75,2,FALSE()),0)-(SUMIF($U$5:$U90,V90,$AK$5:$AK90)+SUMIF($V$5:$V90,V90,$AL$5:$AL90)+SUMIF($Y$5:$Y90,V90,$AA$5:$AA90)+SUMIF($AC$5:$AC90,V90,$AE$5:$AE90))))),IF(AF90&gt;0,AF90,0))</f>
        <v>0</v>
      </c>
      <c r="AE91" s="19">
        <f t="shared" si="59"/>
        <v>0</v>
      </c>
      <c r="AF91" s="19">
        <f t="shared" si="60"/>
        <v>0</v>
      </c>
      <c r="AG91" s="20">
        <f>IFERROR(IF(C91="Y",Settings!$B$4+Settings!$B$5,0),0)</f>
        <v>0</v>
      </c>
      <c r="AH91" s="21" t="str">
        <f>IFERROR(IF(U91="","",IFERROR(VLOOKUP(U91,'Bucket Status'!$A$4:$B$75,2,FALSE()),0)-(SUMIF($U$5:$U90,U91,$AK$5:$AK90)+SUMIF($V$5:$V90,U91,$AL$5:$AL90)+SUMIF($Y$5:$Y90,U91,$AA$5:$AA90)+SUMIF($AC$5:$AC90,U91,$AE$5:$AE90))),"")</f>
        <v/>
      </c>
      <c r="AI91" s="22" t="str">
        <f>IFERROR(IF(V91="","",IFERROR(VLOOKUP(V91,'Bucket Status'!$A$4:$B$75,2,FALSE()),0)-(SUMIF($U$5:$U90,V91,$AK$5:$AK90)+SUMIF($V$5:$V90,V91,$AL$5:$AL90)+SUMIF($Y$5:$Y90,V91,$AA$5:$AA90)+SUMIF($AC$5:$AC90,V91,$AE$5:$AE90))),"")</f>
        <v/>
      </c>
      <c r="AJ91" s="23" t="str">
        <f t="shared" si="61"/>
        <v/>
      </c>
      <c r="AK91" s="21" t="str">
        <f t="shared" si="62"/>
        <v/>
      </c>
      <c r="AL91" s="22" t="str">
        <f t="shared" si="63"/>
        <v/>
      </c>
    </row>
    <row r="92" spans="1:38" ht="18" customHeight="1" x14ac:dyDescent="0.3">
      <c r="A92" s="3"/>
      <c r="B92" s="50"/>
      <c r="C92" s="4"/>
      <c r="D92" s="5"/>
      <c r="E92" s="5"/>
      <c r="F92" s="6"/>
      <c r="G92" s="6"/>
      <c r="H92" s="7"/>
      <c r="I92" s="8" t="str">
        <f t="shared" si="48"/>
        <v/>
      </c>
      <c r="J92" s="9" t="str">
        <f t="shared" si="49"/>
        <v/>
      </c>
      <c r="K92" s="10" t="str">
        <f t="shared" si="50"/>
        <v/>
      </c>
      <c r="L92" s="11" t="str">
        <f t="shared" si="51"/>
        <v/>
      </c>
      <c r="M92" s="12" t="str">
        <f t="shared" si="52"/>
        <v/>
      </c>
      <c r="N92" s="13" t="str">
        <f t="shared" si="53"/>
        <v/>
      </c>
      <c r="O92" s="14" t="str">
        <f t="shared" si="54"/>
        <v/>
      </c>
      <c r="P92" s="15"/>
      <c r="Q92" s="16" t="str">
        <f t="shared" si="64"/>
        <v/>
      </c>
      <c r="R92" s="16" t="str">
        <f t="shared" si="65"/>
        <v/>
      </c>
      <c r="S92" s="17" t="str">
        <f t="shared" si="66"/>
        <v/>
      </c>
      <c r="T92" s="17" t="str">
        <f t="shared" si="67"/>
        <v/>
      </c>
      <c r="U92" s="16" t="str">
        <f t="shared" si="55"/>
        <v/>
      </c>
      <c r="V92" s="17" t="str">
        <f t="shared" si="56"/>
        <v/>
      </c>
      <c r="W92" s="18">
        <f t="shared" si="68"/>
        <v>0</v>
      </c>
      <c r="X92" s="18">
        <f t="shared" si="69"/>
        <v>0</v>
      </c>
      <c r="Y92" s="18" t="str">
        <f t="shared" si="70"/>
        <v/>
      </c>
      <c r="Z92" s="19">
        <f>IF(W92=1,MAX(0,MIN(Settings!$B$6,(IFERROR(VLOOKUP(U91,'Bucket Status'!$A$4:$B$75,2,FALSE()),0)-(SUMIF($U$5:$U91,U91,$AK$5:$AK91)+SUMIF($V$5:$V91,U91,$AL$5:$AL91)+SUMIF($Y$5:$Y91,U91,$AA$5:$AA91)+SUMIF($AC$5:$AC91,U91,$AE$5:$AE91))))),IF(AB91&gt;0,AB91,0))</f>
        <v>0</v>
      </c>
      <c r="AA92" s="19">
        <f t="shared" si="57"/>
        <v>0</v>
      </c>
      <c r="AB92" s="19">
        <f t="shared" si="58"/>
        <v>0</v>
      </c>
      <c r="AC92" s="18" t="str">
        <f t="shared" si="71"/>
        <v/>
      </c>
      <c r="AD92" s="19">
        <f>IF(X92=1,MAX(0,MIN(Settings!$B$6-Z92,(IFERROR(VLOOKUP(V91,'Bucket Status'!$A$4:$B$75,2,FALSE()),0)-(SUMIF($U$5:$U91,V91,$AK$5:$AK91)+SUMIF($V$5:$V91,V91,$AL$5:$AL91)+SUMIF($Y$5:$Y91,V91,$AA$5:$AA91)+SUMIF($AC$5:$AC91,V91,$AE$5:$AE91))))),IF(AF91&gt;0,AF91,0))</f>
        <v>0</v>
      </c>
      <c r="AE92" s="19">
        <f t="shared" si="59"/>
        <v>0</v>
      </c>
      <c r="AF92" s="19">
        <f t="shared" si="60"/>
        <v>0</v>
      </c>
      <c r="AG92" s="20">
        <f>IFERROR(IF(C92="Y",Settings!$B$4+Settings!$B$5,0),0)</f>
        <v>0</v>
      </c>
      <c r="AH92" s="21" t="str">
        <f>IFERROR(IF(U92="","",IFERROR(VLOOKUP(U92,'Bucket Status'!$A$4:$B$75,2,FALSE()),0)-(SUMIF($U$5:$U91,U92,$AK$5:$AK91)+SUMIF($V$5:$V91,U92,$AL$5:$AL91)+SUMIF($Y$5:$Y91,U92,$AA$5:$AA91)+SUMIF($AC$5:$AC91,U92,$AE$5:$AE91))),"")</f>
        <v/>
      </c>
      <c r="AI92" s="22" t="str">
        <f>IFERROR(IF(V92="","",IFERROR(VLOOKUP(V92,'Bucket Status'!$A$4:$B$75,2,FALSE()),0)-(SUMIF($U$5:$U91,V92,$AK$5:$AK91)+SUMIF($V$5:$V91,V92,$AL$5:$AL91)+SUMIF($Y$5:$Y91,V92,$AA$5:$AA91)+SUMIF($AC$5:$AC91,V92,$AE$5:$AE91))),"")</f>
        <v/>
      </c>
      <c r="AJ92" s="23" t="str">
        <f t="shared" si="61"/>
        <v/>
      </c>
      <c r="AK92" s="21" t="str">
        <f t="shared" si="62"/>
        <v/>
      </c>
      <c r="AL92" s="22" t="str">
        <f t="shared" si="63"/>
        <v/>
      </c>
    </row>
    <row r="93" spans="1:38" ht="18" customHeight="1" x14ac:dyDescent="0.3">
      <c r="A93" s="3"/>
      <c r="B93" s="50"/>
      <c r="C93" s="4"/>
      <c r="D93" s="5"/>
      <c r="E93" s="5"/>
      <c r="F93" s="6"/>
      <c r="G93" s="6"/>
      <c r="H93" s="7"/>
      <c r="I93" s="8" t="str">
        <f t="shared" si="48"/>
        <v/>
      </c>
      <c r="J93" s="9" t="str">
        <f t="shared" si="49"/>
        <v/>
      </c>
      <c r="K93" s="10" t="str">
        <f t="shared" si="50"/>
        <v/>
      </c>
      <c r="L93" s="11" t="str">
        <f t="shared" si="51"/>
        <v/>
      </c>
      <c r="M93" s="12" t="str">
        <f t="shared" si="52"/>
        <v/>
      </c>
      <c r="N93" s="13" t="str">
        <f t="shared" si="53"/>
        <v/>
      </c>
      <c r="O93" s="14" t="str">
        <f t="shared" si="54"/>
        <v/>
      </c>
      <c r="P93" s="15"/>
      <c r="Q93" s="16" t="str">
        <f t="shared" si="64"/>
        <v/>
      </c>
      <c r="R93" s="16" t="str">
        <f t="shared" si="65"/>
        <v/>
      </c>
      <c r="S93" s="17" t="str">
        <f t="shared" si="66"/>
        <v/>
      </c>
      <c r="T93" s="17" t="str">
        <f t="shared" si="67"/>
        <v/>
      </c>
      <c r="U93" s="16" t="str">
        <f t="shared" si="55"/>
        <v/>
      </c>
      <c r="V93" s="17" t="str">
        <f t="shared" si="56"/>
        <v/>
      </c>
      <c r="W93" s="18">
        <f t="shared" si="68"/>
        <v>0</v>
      </c>
      <c r="X93" s="18">
        <f t="shared" si="69"/>
        <v>0</v>
      </c>
      <c r="Y93" s="18" t="str">
        <f t="shared" si="70"/>
        <v/>
      </c>
      <c r="Z93" s="19">
        <f>IF(W93=1,MAX(0,MIN(Settings!$B$6,(IFERROR(VLOOKUP(U92,'Bucket Status'!$A$4:$B$75,2,FALSE()),0)-(SUMIF($U$5:$U92,U92,$AK$5:$AK92)+SUMIF($V$5:$V92,U92,$AL$5:$AL92)+SUMIF($Y$5:$Y92,U92,$AA$5:$AA92)+SUMIF($AC$5:$AC92,U92,$AE$5:$AE92))))),IF(AB92&gt;0,AB92,0))</f>
        <v>0</v>
      </c>
      <c r="AA93" s="19">
        <f t="shared" si="57"/>
        <v>0</v>
      </c>
      <c r="AB93" s="19">
        <f t="shared" si="58"/>
        <v>0</v>
      </c>
      <c r="AC93" s="18" t="str">
        <f t="shared" si="71"/>
        <v/>
      </c>
      <c r="AD93" s="19">
        <f>IF(X93=1,MAX(0,MIN(Settings!$B$6-Z93,(IFERROR(VLOOKUP(V92,'Bucket Status'!$A$4:$B$75,2,FALSE()),0)-(SUMIF($U$5:$U92,V92,$AK$5:$AK92)+SUMIF($V$5:$V92,V92,$AL$5:$AL92)+SUMIF($Y$5:$Y92,V92,$AA$5:$AA92)+SUMIF($AC$5:$AC92,V92,$AE$5:$AE92))))),IF(AF92&gt;0,AF92,0))</f>
        <v>0</v>
      </c>
      <c r="AE93" s="19">
        <f t="shared" si="59"/>
        <v>0</v>
      </c>
      <c r="AF93" s="19">
        <f t="shared" si="60"/>
        <v>0</v>
      </c>
      <c r="AG93" s="20">
        <f>IFERROR(IF(C93="Y",Settings!$B$4+Settings!$B$5,0),0)</f>
        <v>0</v>
      </c>
      <c r="AH93" s="21" t="str">
        <f>IFERROR(IF(U93="","",IFERROR(VLOOKUP(U93,'Bucket Status'!$A$4:$B$75,2,FALSE()),0)-(SUMIF($U$5:$U92,U93,$AK$5:$AK92)+SUMIF($V$5:$V92,U93,$AL$5:$AL92)+SUMIF($Y$5:$Y92,U93,$AA$5:$AA92)+SUMIF($AC$5:$AC92,U93,$AE$5:$AE92))),"")</f>
        <v/>
      </c>
      <c r="AI93" s="22" t="str">
        <f>IFERROR(IF(V93="","",IFERROR(VLOOKUP(V93,'Bucket Status'!$A$4:$B$75,2,FALSE()),0)-(SUMIF($U$5:$U92,V93,$AK$5:$AK92)+SUMIF($V$5:$V92,V93,$AL$5:$AL92)+SUMIF($Y$5:$Y92,V93,$AA$5:$AA92)+SUMIF($AC$5:$AC92,V93,$AE$5:$AE92))),"")</f>
        <v/>
      </c>
      <c r="AJ93" s="23" t="str">
        <f t="shared" si="61"/>
        <v/>
      </c>
      <c r="AK93" s="21" t="str">
        <f t="shared" si="62"/>
        <v/>
      </c>
      <c r="AL93" s="22" t="str">
        <f t="shared" si="63"/>
        <v/>
      </c>
    </row>
    <row r="94" spans="1:38" ht="18" customHeight="1" x14ac:dyDescent="0.3">
      <c r="A94" s="3"/>
      <c r="B94" s="50"/>
      <c r="C94" s="4"/>
      <c r="D94" s="5"/>
      <c r="E94" s="5"/>
      <c r="F94" s="6"/>
      <c r="G94" s="6"/>
      <c r="H94" s="7"/>
      <c r="I94" s="8" t="str">
        <f t="shared" si="48"/>
        <v/>
      </c>
      <c r="J94" s="9" t="str">
        <f t="shared" si="49"/>
        <v/>
      </c>
      <c r="K94" s="10" t="str">
        <f t="shared" si="50"/>
        <v/>
      </c>
      <c r="L94" s="11" t="str">
        <f t="shared" si="51"/>
        <v/>
      </c>
      <c r="M94" s="12" t="str">
        <f t="shared" si="52"/>
        <v/>
      </c>
      <c r="N94" s="13" t="str">
        <f t="shared" si="53"/>
        <v/>
      </c>
      <c r="O94" s="14" t="str">
        <f t="shared" si="54"/>
        <v/>
      </c>
      <c r="P94" s="15"/>
      <c r="Q94" s="16" t="str">
        <f t="shared" si="64"/>
        <v/>
      </c>
      <c r="R94" s="16" t="str">
        <f t="shared" si="65"/>
        <v/>
      </c>
      <c r="S94" s="17" t="str">
        <f t="shared" si="66"/>
        <v/>
      </c>
      <c r="T94" s="17" t="str">
        <f t="shared" si="67"/>
        <v/>
      </c>
      <c r="U94" s="16" t="str">
        <f t="shared" si="55"/>
        <v/>
      </c>
      <c r="V94" s="17" t="str">
        <f t="shared" si="56"/>
        <v/>
      </c>
      <c r="W94" s="18">
        <f t="shared" si="68"/>
        <v>0</v>
      </c>
      <c r="X94" s="18">
        <f t="shared" si="69"/>
        <v>0</v>
      </c>
      <c r="Y94" s="18" t="str">
        <f t="shared" si="70"/>
        <v/>
      </c>
      <c r="Z94" s="19">
        <f>IF(W94=1,MAX(0,MIN(Settings!$B$6,(IFERROR(VLOOKUP(U93,'Bucket Status'!$A$4:$B$75,2,FALSE()),0)-(SUMIF($U$5:$U93,U93,$AK$5:$AK93)+SUMIF($V$5:$V93,U93,$AL$5:$AL93)+SUMIF($Y$5:$Y93,U93,$AA$5:$AA93)+SUMIF($AC$5:$AC93,U93,$AE$5:$AE93))))),IF(AB93&gt;0,AB93,0))</f>
        <v>0</v>
      </c>
      <c r="AA94" s="19">
        <f t="shared" si="57"/>
        <v>0</v>
      </c>
      <c r="AB94" s="19">
        <f t="shared" si="58"/>
        <v>0</v>
      </c>
      <c r="AC94" s="18" t="str">
        <f t="shared" si="71"/>
        <v/>
      </c>
      <c r="AD94" s="19">
        <f>IF(X94=1,MAX(0,MIN(Settings!$B$6-Z94,(IFERROR(VLOOKUP(V93,'Bucket Status'!$A$4:$B$75,2,FALSE()),0)-(SUMIF($U$5:$U93,V93,$AK$5:$AK93)+SUMIF($V$5:$V93,V93,$AL$5:$AL93)+SUMIF($Y$5:$Y93,V93,$AA$5:$AA93)+SUMIF($AC$5:$AC93,V93,$AE$5:$AE93))))),IF(AF93&gt;0,AF93,0))</f>
        <v>0</v>
      </c>
      <c r="AE94" s="19">
        <f t="shared" si="59"/>
        <v>0</v>
      </c>
      <c r="AF94" s="19">
        <f t="shared" si="60"/>
        <v>0</v>
      </c>
      <c r="AG94" s="20">
        <f>IFERROR(IF(C94="Y",Settings!$B$4+Settings!$B$5,0),0)</f>
        <v>0</v>
      </c>
      <c r="AH94" s="21" t="str">
        <f>IFERROR(IF(U94="","",IFERROR(VLOOKUP(U94,'Bucket Status'!$A$4:$B$75,2,FALSE()),0)-(SUMIF($U$5:$U93,U94,$AK$5:$AK93)+SUMIF($V$5:$V93,U94,$AL$5:$AL93)+SUMIF($Y$5:$Y93,U94,$AA$5:$AA93)+SUMIF($AC$5:$AC93,U94,$AE$5:$AE93))),"")</f>
        <v/>
      </c>
      <c r="AI94" s="22" t="str">
        <f>IFERROR(IF(V94="","",IFERROR(VLOOKUP(V94,'Bucket Status'!$A$4:$B$75,2,FALSE()),0)-(SUMIF($U$5:$U93,V94,$AK$5:$AK93)+SUMIF($V$5:$V93,V94,$AL$5:$AL93)+SUMIF($Y$5:$Y93,V94,$AA$5:$AA93)+SUMIF($AC$5:$AC93,V94,$AE$5:$AE93))),"")</f>
        <v/>
      </c>
      <c r="AJ94" s="23" t="str">
        <f t="shared" si="61"/>
        <v/>
      </c>
      <c r="AK94" s="21" t="str">
        <f t="shared" si="62"/>
        <v/>
      </c>
      <c r="AL94" s="22" t="str">
        <f t="shared" si="63"/>
        <v/>
      </c>
    </row>
    <row r="95" spans="1:38" ht="18" customHeight="1" x14ac:dyDescent="0.3">
      <c r="A95" s="3"/>
      <c r="B95" s="50"/>
      <c r="C95" s="4"/>
      <c r="D95" s="5"/>
      <c r="E95" s="5"/>
      <c r="F95" s="6"/>
      <c r="G95" s="6"/>
      <c r="H95" s="7"/>
      <c r="I95" s="8" t="str">
        <f t="shared" si="48"/>
        <v/>
      </c>
      <c r="J95" s="9" t="str">
        <f t="shared" si="49"/>
        <v/>
      </c>
      <c r="K95" s="10" t="str">
        <f t="shared" si="50"/>
        <v/>
      </c>
      <c r="L95" s="11" t="str">
        <f t="shared" si="51"/>
        <v/>
      </c>
      <c r="M95" s="12" t="str">
        <f t="shared" si="52"/>
        <v/>
      </c>
      <c r="N95" s="13" t="str">
        <f t="shared" si="53"/>
        <v/>
      </c>
      <c r="O95" s="14" t="str">
        <f t="shared" si="54"/>
        <v/>
      </c>
      <c r="P95" s="15"/>
      <c r="Q95" s="16" t="str">
        <f t="shared" si="64"/>
        <v/>
      </c>
      <c r="R95" s="16" t="str">
        <f t="shared" si="65"/>
        <v/>
      </c>
      <c r="S95" s="17" t="str">
        <f t="shared" si="66"/>
        <v/>
      </c>
      <c r="T95" s="17" t="str">
        <f t="shared" si="67"/>
        <v/>
      </c>
      <c r="U95" s="16" t="str">
        <f t="shared" si="55"/>
        <v/>
      </c>
      <c r="V95" s="17" t="str">
        <f t="shared" si="56"/>
        <v/>
      </c>
      <c r="W95" s="18">
        <f t="shared" si="68"/>
        <v>0</v>
      </c>
      <c r="X95" s="18">
        <f t="shared" si="69"/>
        <v>0</v>
      </c>
      <c r="Y95" s="18" t="str">
        <f t="shared" si="70"/>
        <v/>
      </c>
      <c r="Z95" s="19">
        <f>IF(W95=1,MAX(0,MIN(Settings!$B$6,(IFERROR(VLOOKUP(U94,'Bucket Status'!$A$4:$B$75,2,FALSE()),0)-(SUMIF($U$5:$U94,U94,$AK$5:$AK94)+SUMIF($V$5:$V94,U94,$AL$5:$AL94)+SUMIF($Y$5:$Y94,U94,$AA$5:$AA94)+SUMIF($AC$5:$AC94,U94,$AE$5:$AE94))))),IF(AB94&gt;0,AB94,0))</f>
        <v>0</v>
      </c>
      <c r="AA95" s="19">
        <f t="shared" si="57"/>
        <v>0</v>
      </c>
      <c r="AB95" s="19">
        <f t="shared" si="58"/>
        <v>0</v>
      </c>
      <c r="AC95" s="18" t="str">
        <f t="shared" si="71"/>
        <v/>
      </c>
      <c r="AD95" s="19">
        <f>IF(X95=1,MAX(0,MIN(Settings!$B$6-Z95,(IFERROR(VLOOKUP(V94,'Bucket Status'!$A$4:$B$75,2,FALSE()),0)-(SUMIF($U$5:$U94,V94,$AK$5:$AK94)+SUMIF($V$5:$V94,V94,$AL$5:$AL94)+SUMIF($Y$5:$Y94,V94,$AA$5:$AA94)+SUMIF($AC$5:$AC94,V94,$AE$5:$AE94))))),IF(AF94&gt;0,AF94,0))</f>
        <v>0</v>
      </c>
      <c r="AE95" s="19">
        <f t="shared" si="59"/>
        <v>0</v>
      </c>
      <c r="AF95" s="19">
        <f t="shared" si="60"/>
        <v>0</v>
      </c>
      <c r="AG95" s="20">
        <f>IFERROR(IF(C95="Y",Settings!$B$4+Settings!$B$5,0),0)</f>
        <v>0</v>
      </c>
      <c r="AH95" s="21" t="str">
        <f>IFERROR(IF(U95="","",IFERROR(VLOOKUP(U95,'Bucket Status'!$A$4:$B$75,2,FALSE()),0)-(SUMIF($U$5:$U94,U95,$AK$5:$AK94)+SUMIF($V$5:$V94,U95,$AL$5:$AL94)+SUMIF($Y$5:$Y94,U95,$AA$5:$AA94)+SUMIF($AC$5:$AC94,U95,$AE$5:$AE94))),"")</f>
        <v/>
      </c>
      <c r="AI95" s="22" t="str">
        <f>IFERROR(IF(V95="","",IFERROR(VLOOKUP(V95,'Bucket Status'!$A$4:$B$75,2,FALSE()),0)-(SUMIF($U$5:$U94,V95,$AK$5:$AK94)+SUMIF($V$5:$V94,V95,$AL$5:$AL94)+SUMIF($Y$5:$Y94,V95,$AA$5:$AA94)+SUMIF($AC$5:$AC94,V95,$AE$5:$AE94))),"")</f>
        <v/>
      </c>
      <c r="AJ95" s="23" t="str">
        <f t="shared" si="61"/>
        <v/>
      </c>
      <c r="AK95" s="21" t="str">
        <f t="shared" si="62"/>
        <v/>
      </c>
      <c r="AL95" s="22" t="str">
        <f t="shared" si="63"/>
        <v/>
      </c>
    </row>
    <row r="96" spans="1:38" ht="18" customHeight="1" x14ac:dyDescent="0.3">
      <c r="A96" s="3"/>
      <c r="B96" s="50"/>
      <c r="C96" s="4"/>
      <c r="D96" s="5"/>
      <c r="E96" s="5"/>
      <c r="F96" s="6"/>
      <c r="G96" s="6"/>
      <c r="H96" s="7"/>
      <c r="I96" s="8" t="str">
        <f t="shared" si="48"/>
        <v/>
      </c>
      <c r="J96" s="9" t="str">
        <f t="shared" si="49"/>
        <v/>
      </c>
      <c r="K96" s="10" t="str">
        <f t="shared" si="50"/>
        <v/>
      </c>
      <c r="L96" s="11" t="str">
        <f t="shared" si="51"/>
        <v/>
      </c>
      <c r="M96" s="12" t="str">
        <f t="shared" si="52"/>
        <v/>
      </c>
      <c r="N96" s="13" t="str">
        <f t="shared" si="53"/>
        <v/>
      </c>
      <c r="O96" s="14" t="str">
        <f t="shared" si="54"/>
        <v/>
      </c>
      <c r="P96" s="15"/>
      <c r="Q96" s="16" t="str">
        <f t="shared" si="64"/>
        <v/>
      </c>
      <c r="R96" s="16" t="str">
        <f t="shared" si="65"/>
        <v/>
      </c>
      <c r="S96" s="17" t="str">
        <f t="shared" si="66"/>
        <v/>
      </c>
      <c r="T96" s="17" t="str">
        <f t="shared" si="67"/>
        <v/>
      </c>
      <c r="U96" s="16" t="str">
        <f t="shared" si="55"/>
        <v/>
      </c>
      <c r="V96" s="17" t="str">
        <f t="shared" si="56"/>
        <v/>
      </c>
      <c r="W96" s="18">
        <f t="shared" si="68"/>
        <v>0</v>
      </c>
      <c r="X96" s="18">
        <f t="shared" si="69"/>
        <v>0</v>
      </c>
      <c r="Y96" s="18" t="str">
        <f t="shared" si="70"/>
        <v/>
      </c>
      <c r="Z96" s="19">
        <f>IF(W96=1,MAX(0,MIN(Settings!$B$6,(IFERROR(VLOOKUP(U95,'Bucket Status'!$A$4:$B$75,2,FALSE()),0)-(SUMIF($U$5:$U95,U95,$AK$5:$AK95)+SUMIF($V$5:$V95,U95,$AL$5:$AL95)+SUMIF($Y$5:$Y95,U95,$AA$5:$AA95)+SUMIF($AC$5:$AC95,U95,$AE$5:$AE95))))),IF(AB95&gt;0,AB95,0))</f>
        <v>0</v>
      </c>
      <c r="AA96" s="19">
        <f t="shared" si="57"/>
        <v>0</v>
      </c>
      <c r="AB96" s="19">
        <f t="shared" si="58"/>
        <v>0</v>
      </c>
      <c r="AC96" s="18" t="str">
        <f t="shared" si="71"/>
        <v/>
      </c>
      <c r="AD96" s="19">
        <f>IF(X96=1,MAX(0,MIN(Settings!$B$6-Z96,(IFERROR(VLOOKUP(V95,'Bucket Status'!$A$4:$B$75,2,FALSE()),0)-(SUMIF($U$5:$U95,V95,$AK$5:$AK95)+SUMIF($V$5:$V95,V95,$AL$5:$AL95)+SUMIF($Y$5:$Y95,V95,$AA$5:$AA95)+SUMIF($AC$5:$AC95,V95,$AE$5:$AE95))))),IF(AF95&gt;0,AF95,0))</f>
        <v>0</v>
      </c>
      <c r="AE96" s="19">
        <f t="shared" si="59"/>
        <v>0</v>
      </c>
      <c r="AF96" s="19">
        <f t="shared" si="60"/>
        <v>0</v>
      </c>
      <c r="AG96" s="20">
        <f>IFERROR(IF(C96="Y",Settings!$B$4+Settings!$B$5,0),0)</f>
        <v>0</v>
      </c>
      <c r="AH96" s="21" t="str">
        <f>IFERROR(IF(U96="","",IFERROR(VLOOKUP(U96,'Bucket Status'!$A$4:$B$75,2,FALSE()),0)-(SUMIF($U$5:$U95,U96,$AK$5:$AK95)+SUMIF($V$5:$V95,U96,$AL$5:$AL95)+SUMIF($Y$5:$Y95,U96,$AA$5:$AA95)+SUMIF($AC$5:$AC95,U96,$AE$5:$AE95))),"")</f>
        <v/>
      </c>
      <c r="AI96" s="22" t="str">
        <f>IFERROR(IF(V96="","",IFERROR(VLOOKUP(V96,'Bucket Status'!$A$4:$B$75,2,FALSE()),0)-(SUMIF($U$5:$U95,V96,$AK$5:$AK95)+SUMIF($V$5:$V95,V96,$AL$5:$AL95)+SUMIF($Y$5:$Y95,V96,$AA$5:$AA95)+SUMIF($AC$5:$AC95,V96,$AE$5:$AE95))),"")</f>
        <v/>
      </c>
      <c r="AJ96" s="23" t="str">
        <f t="shared" si="61"/>
        <v/>
      </c>
      <c r="AK96" s="21" t="str">
        <f t="shared" si="62"/>
        <v/>
      </c>
      <c r="AL96" s="22" t="str">
        <f t="shared" si="63"/>
        <v/>
      </c>
    </row>
    <row r="97" spans="1:38" ht="18" customHeight="1" x14ac:dyDescent="0.3">
      <c r="A97" s="3"/>
      <c r="B97" s="50"/>
      <c r="C97" s="4"/>
      <c r="D97" s="5"/>
      <c r="E97" s="5"/>
      <c r="F97" s="6"/>
      <c r="G97" s="6"/>
      <c r="H97" s="7"/>
      <c r="I97" s="8" t="str">
        <f t="shared" si="48"/>
        <v/>
      </c>
      <c r="J97" s="9" t="str">
        <f t="shared" si="49"/>
        <v/>
      </c>
      <c r="K97" s="10" t="str">
        <f t="shared" si="50"/>
        <v/>
      </c>
      <c r="L97" s="11" t="str">
        <f t="shared" si="51"/>
        <v/>
      </c>
      <c r="M97" s="12" t="str">
        <f t="shared" si="52"/>
        <v/>
      </c>
      <c r="N97" s="13" t="str">
        <f t="shared" si="53"/>
        <v/>
      </c>
      <c r="O97" s="14" t="str">
        <f t="shared" si="54"/>
        <v/>
      </c>
      <c r="P97" s="15"/>
      <c r="Q97" s="16" t="str">
        <f t="shared" si="64"/>
        <v/>
      </c>
      <c r="R97" s="16" t="str">
        <f t="shared" si="65"/>
        <v/>
      </c>
      <c r="S97" s="17" t="str">
        <f t="shared" si="66"/>
        <v/>
      </c>
      <c r="T97" s="17" t="str">
        <f t="shared" si="67"/>
        <v/>
      </c>
      <c r="U97" s="16" t="str">
        <f t="shared" si="55"/>
        <v/>
      </c>
      <c r="V97" s="17" t="str">
        <f t="shared" si="56"/>
        <v/>
      </c>
      <c r="W97" s="18">
        <f t="shared" si="68"/>
        <v>0</v>
      </c>
      <c r="X97" s="18">
        <f t="shared" si="69"/>
        <v>0</v>
      </c>
      <c r="Y97" s="18" t="str">
        <f t="shared" si="70"/>
        <v/>
      </c>
      <c r="Z97" s="19">
        <f>IF(W97=1,MAX(0,MIN(Settings!$B$6,(IFERROR(VLOOKUP(U96,'Bucket Status'!$A$4:$B$75,2,FALSE()),0)-(SUMIF($U$5:$U96,U96,$AK$5:$AK96)+SUMIF($V$5:$V96,U96,$AL$5:$AL96)+SUMIF($Y$5:$Y96,U96,$AA$5:$AA96)+SUMIF($AC$5:$AC96,U96,$AE$5:$AE96))))),IF(AB96&gt;0,AB96,0))</f>
        <v>0</v>
      </c>
      <c r="AA97" s="19">
        <f t="shared" si="57"/>
        <v>0</v>
      </c>
      <c r="AB97" s="19">
        <f t="shared" si="58"/>
        <v>0</v>
      </c>
      <c r="AC97" s="18" t="str">
        <f t="shared" si="71"/>
        <v/>
      </c>
      <c r="AD97" s="19">
        <f>IF(X97=1,MAX(0,MIN(Settings!$B$6-Z97,(IFERROR(VLOOKUP(V96,'Bucket Status'!$A$4:$B$75,2,FALSE()),0)-(SUMIF($U$5:$U96,V96,$AK$5:$AK96)+SUMIF($V$5:$V96,V96,$AL$5:$AL96)+SUMIF($Y$5:$Y96,V96,$AA$5:$AA96)+SUMIF($AC$5:$AC96,V96,$AE$5:$AE96))))),IF(AF96&gt;0,AF96,0))</f>
        <v>0</v>
      </c>
      <c r="AE97" s="19">
        <f t="shared" si="59"/>
        <v>0</v>
      </c>
      <c r="AF97" s="19">
        <f t="shared" si="60"/>
        <v>0</v>
      </c>
      <c r="AG97" s="20">
        <f>IFERROR(IF(C97="Y",Settings!$B$4+Settings!$B$5,0),0)</f>
        <v>0</v>
      </c>
      <c r="AH97" s="21" t="str">
        <f>IFERROR(IF(U97="","",IFERROR(VLOOKUP(U97,'Bucket Status'!$A$4:$B$75,2,FALSE()),0)-(SUMIF($U$5:$U96,U97,$AK$5:$AK96)+SUMIF($V$5:$V96,U97,$AL$5:$AL96)+SUMIF($Y$5:$Y96,U97,$AA$5:$AA96)+SUMIF($AC$5:$AC96,U97,$AE$5:$AE96))),"")</f>
        <v/>
      </c>
      <c r="AI97" s="22" t="str">
        <f>IFERROR(IF(V97="","",IFERROR(VLOOKUP(V97,'Bucket Status'!$A$4:$B$75,2,FALSE()),0)-(SUMIF($U$5:$U96,V97,$AK$5:$AK96)+SUMIF($V$5:$V96,V97,$AL$5:$AL96)+SUMIF($Y$5:$Y96,V97,$AA$5:$AA96)+SUMIF($AC$5:$AC96,V97,$AE$5:$AE96))),"")</f>
        <v/>
      </c>
      <c r="AJ97" s="23" t="str">
        <f t="shared" si="61"/>
        <v/>
      </c>
      <c r="AK97" s="21" t="str">
        <f t="shared" si="62"/>
        <v/>
      </c>
      <c r="AL97" s="22" t="str">
        <f t="shared" si="63"/>
        <v/>
      </c>
    </row>
    <row r="98" spans="1:38" ht="18" customHeight="1" x14ac:dyDescent="0.3">
      <c r="A98" s="3"/>
      <c r="B98" s="50"/>
      <c r="C98" s="4"/>
      <c r="D98" s="5"/>
      <c r="E98" s="5"/>
      <c r="F98" s="6"/>
      <c r="G98" s="6"/>
      <c r="H98" s="7"/>
      <c r="I98" s="8" t="str">
        <f t="shared" si="48"/>
        <v/>
      </c>
      <c r="J98" s="9" t="str">
        <f t="shared" si="49"/>
        <v/>
      </c>
      <c r="K98" s="10" t="str">
        <f t="shared" si="50"/>
        <v/>
      </c>
      <c r="L98" s="11" t="str">
        <f t="shared" si="51"/>
        <v/>
      </c>
      <c r="M98" s="12" t="str">
        <f t="shared" si="52"/>
        <v/>
      </c>
      <c r="N98" s="13" t="str">
        <f t="shared" si="53"/>
        <v/>
      </c>
      <c r="O98" s="14" t="str">
        <f t="shared" si="54"/>
        <v/>
      </c>
      <c r="P98" s="15"/>
      <c r="Q98" s="16" t="str">
        <f t="shared" si="64"/>
        <v/>
      </c>
      <c r="R98" s="16" t="str">
        <f t="shared" si="65"/>
        <v/>
      </c>
      <c r="S98" s="17" t="str">
        <f t="shared" si="66"/>
        <v/>
      </c>
      <c r="T98" s="17" t="str">
        <f t="shared" si="67"/>
        <v/>
      </c>
      <c r="U98" s="16" t="str">
        <f t="shared" si="55"/>
        <v/>
      </c>
      <c r="V98" s="17" t="str">
        <f t="shared" si="56"/>
        <v/>
      </c>
      <c r="W98" s="18">
        <f t="shared" si="68"/>
        <v>0</v>
      </c>
      <c r="X98" s="18">
        <f t="shared" si="69"/>
        <v>0</v>
      </c>
      <c r="Y98" s="18" t="str">
        <f t="shared" si="70"/>
        <v/>
      </c>
      <c r="Z98" s="19">
        <f>IF(W98=1,MAX(0,MIN(Settings!$B$6,(IFERROR(VLOOKUP(U97,'Bucket Status'!$A$4:$B$75,2,FALSE()),0)-(SUMIF($U$5:$U97,U97,$AK$5:$AK97)+SUMIF($V$5:$V97,U97,$AL$5:$AL97)+SUMIF($Y$5:$Y97,U97,$AA$5:$AA97)+SUMIF($AC$5:$AC97,U97,$AE$5:$AE97))))),IF(AB97&gt;0,AB97,0))</f>
        <v>0</v>
      </c>
      <c r="AA98" s="19">
        <f t="shared" si="57"/>
        <v>0</v>
      </c>
      <c r="AB98" s="19">
        <f t="shared" si="58"/>
        <v>0</v>
      </c>
      <c r="AC98" s="18" t="str">
        <f t="shared" si="71"/>
        <v/>
      </c>
      <c r="AD98" s="19">
        <f>IF(X98=1,MAX(0,MIN(Settings!$B$6-Z98,(IFERROR(VLOOKUP(V97,'Bucket Status'!$A$4:$B$75,2,FALSE()),0)-(SUMIF($U$5:$U97,V97,$AK$5:$AK97)+SUMIF($V$5:$V97,V97,$AL$5:$AL97)+SUMIF($Y$5:$Y97,V97,$AA$5:$AA97)+SUMIF($AC$5:$AC97,V97,$AE$5:$AE97))))),IF(AF97&gt;0,AF97,0))</f>
        <v>0</v>
      </c>
      <c r="AE98" s="19">
        <f t="shared" si="59"/>
        <v>0</v>
      </c>
      <c r="AF98" s="19">
        <f t="shared" si="60"/>
        <v>0</v>
      </c>
      <c r="AG98" s="20">
        <f>IFERROR(IF(C98="Y",Settings!$B$4+Settings!$B$5,0),0)</f>
        <v>0</v>
      </c>
      <c r="AH98" s="21" t="str">
        <f>IFERROR(IF(U98="","",IFERROR(VLOOKUP(U98,'Bucket Status'!$A$4:$B$75,2,FALSE()),0)-(SUMIF($U$5:$U97,U98,$AK$5:$AK97)+SUMIF($V$5:$V97,U98,$AL$5:$AL97)+SUMIF($Y$5:$Y97,U98,$AA$5:$AA97)+SUMIF($AC$5:$AC97,U98,$AE$5:$AE97))),"")</f>
        <v/>
      </c>
      <c r="AI98" s="22" t="str">
        <f>IFERROR(IF(V98="","",IFERROR(VLOOKUP(V98,'Bucket Status'!$A$4:$B$75,2,FALSE()),0)-(SUMIF($U$5:$U97,V98,$AK$5:$AK97)+SUMIF($V$5:$V97,V98,$AL$5:$AL97)+SUMIF($Y$5:$Y97,V98,$AA$5:$AA97)+SUMIF($AC$5:$AC97,V98,$AE$5:$AE97))),"")</f>
        <v/>
      </c>
      <c r="AJ98" s="23" t="str">
        <f t="shared" si="61"/>
        <v/>
      </c>
      <c r="AK98" s="21" t="str">
        <f t="shared" si="62"/>
        <v/>
      </c>
      <c r="AL98" s="22" t="str">
        <f t="shared" si="63"/>
        <v/>
      </c>
    </row>
    <row r="99" spans="1:38" ht="18" customHeight="1" x14ac:dyDescent="0.3">
      <c r="A99" s="3"/>
      <c r="B99" s="50"/>
      <c r="C99" s="4"/>
      <c r="D99" s="5"/>
      <c r="E99" s="5"/>
      <c r="F99" s="6"/>
      <c r="G99" s="6"/>
      <c r="H99" s="7"/>
      <c r="I99" s="8" t="str">
        <f t="shared" si="48"/>
        <v/>
      </c>
      <c r="J99" s="9" t="str">
        <f t="shared" si="49"/>
        <v/>
      </c>
      <c r="K99" s="10" t="str">
        <f t="shared" si="50"/>
        <v/>
      </c>
      <c r="L99" s="11" t="str">
        <f t="shared" si="51"/>
        <v/>
      </c>
      <c r="M99" s="12" t="str">
        <f t="shared" si="52"/>
        <v/>
      </c>
      <c r="N99" s="13" t="str">
        <f t="shared" si="53"/>
        <v/>
      </c>
      <c r="O99" s="14" t="str">
        <f t="shared" si="54"/>
        <v/>
      </c>
      <c r="P99" s="15"/>
      <c r="Q99" s="16" t="str">
        <f t="shared" si="64"/>
        <v/>
      </c>
      <c r="R99" s="16" t="str">
        <f t="shared" si="65"/>
        <v/>
      </c>
      <c r="S99" s="17" t="str">
        <f t="shared" si="66"/>
        <v/>
      </c>
      <c r="T99" s="17" t="str">
        <f t="shared" si="67"/>
        <v/>
      </c>
      <c r="U99" s="16" t="str">
        <f t="shared" si="55"/>
        <v/>
      </c>
      <c r="V99" s="17" t="str">
        <f t="shared" si="56"/>
        <v/>
      </c>
      <c r="W99" s="18">
        <f t="shared" si="68"/>
        <v>0</v>
      </c>
      <c r="X99" s="18">
        <f t="shared" si="69"/>
        <v>0</v>
      </c>
      <c r="Y99" s="18" t="str">
        <f t="shared" si="70"/>
        <v/>
      </c>
      <c r="Z99" s="19">
        <f>IF(W99=1,MAX(0,MIN(Settings!$B$6,(IFERROR(VLOOKUP(U98,'Bucket Status'!$A$4:$B$75,2,FALSE()),0)-(SUMIF($U$5:$U98,U98,$AK$5:$AK98)+SUMIF($V$5:$V98,U98,$AL$5:$AL98)+SUMIF($Y$5:$Y98,U98,$AA$5:$AA98)+SUMIF($AC$5:$AC98,U98,$AE$5:$AE98))))),IF(AB98&gt;0,AB98,0))</f>
        <v>0</v>
      </c>
      <c r="AA99" s="19">
        <f t="shared" si="57"/>
        <v>0</v>
      </c>
      <c r="AB99" s="19">
        <f t="shared" si="58"/>
        <v>0</v>
      </c>
      <c r="AC99" s="18" t="str">
        <f t="shared" si="71"/>
        <v/>
      </c>
      <c r="AD99" s="19">
        <f>IF(X99=1,MAX(0,MIN(Settings!$B$6-Z99,(IFERROR(VLOOKUP(V98,'Bucket Status'!$A$4:$B$75,2,FALSE()),0)-(SUMIF($U$5:$U98,V98,$AK$5:$AK98)+SUMIF($V$5:$V98,V98,$AL$5:$AL98)+SUMIF($Y$5:$Y98,V98,$AA$5:$AA98)+SUMIF($AC$5:$AC98,V98,$AE$5:$AE98))))),IF(AF98&gt;0,AF98,0))</f>
        <v>0</v>
      </c>
      <c r="AE99" s="19">
        <f t="shared" si="59"/>
        <v>0</v>
      </c>
      <c r="AF99" s="19">
        <f t="shared" si="60"/>
        <v>0</v>
      </c>
      <c r="AG99" s="20">
        <f>IFERROR(IF(C99="Y",Settings!$B$4+Settings!$B$5,0),0)</f>
        <v>0</v>
      </c>
      <c r="AH99" s="21" t="str">
        <f>IFERROR(IF(U99="","",IFERROR(VLOOKUP(U99,'Bucket Status'!$A$4:$B$75,2,FALSE()),0)-(SUMIF($U$5:$U98,U99,$AK$5:$AK98)+SUMIF($V$5:$V98,U99,$AL$5:$AL98)+SUMIF($Y$5:$Y98,U99,$AA$5:$AA98)+SUMIF($AC$5:$AC98,U99,$AE$5:$AE98))),"")</f>
        <v/>
      </c>
      <c r="AI99" s="22" t="str">
        <f>IFERROR(IF(V99="","",IFERROR(VLOOKUP(V99,'Bucket Status'!$A$4:$B$75,2,FALSE()),0)-(SUMIF($U$5:$U98,V99,$AK$5:$AK98)+SUMIF($V$5:$V98,V99,$AL$5:$AL98)+SUMIF($Y$5:$Y98,V99,$AA$5:$AA98)+SUMIF($AC$5:$AC98,V99,$AE$5:$AE98))),"")</f>
        <v/>
      </c>
      <c r="AJ99" s="23" t="str">
        <f t="shared" si="61"/>
        <v/>
      </c>
      <c r="AK99" s="21" t="str">
        <f t="shared" si="62"/>
        <v/>
      </c>
      <c r="AL99" s="22" t="str">
        <f t="shared" si="63"/>
        <v/>
      </c>
    </row>
    <row r="100" spans="1:38" ht="18" customHeight="1" x14ac:dyDescent="0.3">
      <c r="A100" s="3"/>
      <c r="B100" s="50"/>
      <c r="C100" s="4"/>
      <c r="D100" s="5"/>
      <c r="E100" s="5"/>
      <c r="F100" s="6"/>
      <c r="G100" s="6"/>
      <c r="H100" s="7"/>
      <c r="I100" s="8" t="str">
        <f t="shared" si="48"/>
        <v/>
      </c>
      <c r="J100" s="9" t="str">
        <f t="shared" si="49"/>
        <v/>
      </c>
      <c r="K100" s="10" t="str">
        <f t="shared" si="50"/>
        <v/>
      </c>
      <c r="L100" s="11" t="str">
        <f t="shared" si="51"/>
        <v/>
      </c>
      <c r="M100" s="12" t="str">
        <f t="shared" si="52"/>
        <v/>
      </c>
      <c r="N100" s="13" t="str">
        <f t="shared" si="53"/>
        <v/>
      </c>
      <c r="O100" s="14" t="str">
        <f t="shared" si="54"/>
        <v/>
      </c>
      <c r="P100" s="15"/>
      <c r="Q100" s="16" t="str">
        <f t="shared" si="64"/>
        <v/>
      </c>
      <c r="R100" s="16" t="str">
        <f t="shared" si="65"/>
        <v/>
      </c>
      <c r="S100" s="17" t="str">
        <f t="shared" si="66"/>
        <v/>
      </c>
      <c r="T100" s="17" t="str">
        <f t="shared" si="67"/>
        <v/>
      </c>
      <c r="U100" s="16" t="str">
        <f t="shared" si="55"/>
        <v/>
      </c>
      <c r="V100" s="17" t="str">
        <f t="shared" si="56"/>
        <v/>
      </c>
      <c r="W100" s="18">
        <f t="shared" si="68"/>
        <v>0</v>
      </c>
      <c r="X100" s="18">
        <f t="shared" si="69"/>
        <v>0</v>
      </c>
      <c r="Y100" s="18" t="str">
        <f t="shared" si="70"/>
        <v/>
      </c>
      <c r="Z100" s="19">
        <f>IF(W100=1,MAX(0,MIN(Settings!$B$6,(IFERROR(VLOOKUP(U99,'Bucket Status'!$A$4:$B$75,2,FALSE()),0)-(SUMIF($U$5:$U99,U99,$AK$5:$AK99)+SUMIF($V$5:$V99,U99,$AL$5:$AL99)+SUMIF($Y$5:$Y99,U99,$AA$5:$AA99)+SUMIF($AC$5:$AC99,U99,$AE$5:$AE99))))),IF(AB99&gt;0,AB99,0))</f>
        <v>0</v>
      </c>
      <c r="AA100" s="19">
        <f t="shared" si="57"/>
        <v>0</v>
      </c>
      <c r="AB100" s="19">
        <f t="shared" si="58"/>
        <v>0</v>
      </c>
      <c r="AC100" s="18" t="str">
        <f t="shared" si="71"/>
        <v/>
      </c>
      <c r="AD100" s="19">
        <f>IF(X100=1,MAX(0,MIN(Settings!$B$6-Z100,(IFERROR(VLOOKUP(V99,'Bucket Status'!$A$4:$B$75,2,FALSE()),0)-(SUMIF($U$5:$U99,V99,$AK$5:$AK99)+SUMIF($V$5:$V99,V99,$AL$5:$AL99)+SUMIF($Y$5:$Y99,V99,$AA$5:$AA99)+SUMIF($AC$5:$AC99,V99,$AE$5:$AE99))))),IF(AF99&gt;0,AF99,0))</f>
        <v>0</v>
      </c>
      <c r="AE100" s="19">
        <f t="shared" si="59"/>
        <v>0</v>
      </c>
      <c r="AF100" s="19">
        <f t="shared" si="60"/>
        <v>0</v>
      </c>
      <c r="AG100" s="20">
        <f>IFERROR(IF(C100="Y",Settings!$B$4+Settings!$B$5,0),0)</f>
        <v>0</v>
      </c>
      <c r="AH100" s="21" t="str">
        <f>IFERROR(IF(U100="","",IFERROR(VLOOKUP(U100,'Bucket Status'!$A$4:$B$75,2,FALSE()),0)-(SUMIF($U$5:$U99,U100,$AK$5:$AK99)+SUMIF($V$5:$V99,U100,$AL$5:$AL99)+SUMIF($Y$5:$Y99,U100,$AA$5:$AA99)+SUMIF($AC$5:$AC99,U100,$AE$5:$AE99))),"")</f>
        <v/>
      </c>
      <c r="AI100" s="22" t="str">
        <f>IFERROR(IF(V100="","",IFERROR(VLOOKUP(V100,'Bucket Status'!$A$4:$B$75,2,FALSE()),0)-(SUMIF($U$5:$U99,V100,$AK$5:$AK99)+SUMIF($V$5:$V99,V100,$AL$5:$AL99)+SUMIF($Y$5:$Y99,V100,$AA$5:$AA99)+SUMIF($AC$5:$AC99,V100,$AE$5:$AE99))),"")</f>
        <v/>
      </c>
      <c r="AJ100" s="23" t="str">
        <f t="shared" si="61"/>
        <v/>
      </c>
      <c r="AK100" s="21" t="str">
        <f t="shared" si="62"/>
        <v/>
      </c>
      <c r="AL100" s="22" t="str">
        <f t="shared" si="63"/>
        <v/>
      </c>
    </row>
    <row r="101" spans="1:38" ht="18" customHeight="1" x14ac:dyDescent="0.3">
      <c r="A101" s="3"/>
      <c r="B101" s="50"/>
      <c r="C101" s="4"/>
      <c r="D101" s="5"/>
      <c r="E101" s="5"/>
      <c r="F101" s="6"/>
      <c r="G101" s="6"/>
      <c r="H101" s="7"/>
      <c r="I101" s="8" t="str">
        <f t="shared" ref="I101:I104" si="72">IFERROR(IF(H101="","",H101+AG101),"")</f>
        <v/>
      </c>
      <c r="J101" s="9" t="str">
        <f t="shared" ref="J101:J104" si="73">IFERROR(IF(OR(I101="",AJ101=""),"",AJ101-(AK101+AL101)),"")</f>
        <v/>
      </c>
      <c r="K101" s="10" t="str">
        <f t="shared" si="50"/>
        <v/>
      </c>
      <c r="L101" s="11" t="str">
        <f t="shared" si="51"/>
        <v/>
      </c>
      <c r="M101" s="12" t="str">
        <f t="shared" si="52"/>
        <v/>
      </c>
      <c r="N101" s="13" t="str">
        <f t="shared" si="53"/>
        <v/>
      </c>
      <c r="O101" s="14" t="str">
        <f t="shared" si="54"/>
        <v/>
      </c>
      <c r="P101" s="15"/>
      <c r="Q101" s="16" t="str">
        <f t="shared" si="64"/>
        <v/>
      </c>
      <c r="R101" s="16" t="str">
        <f t="shared" si="65"/>
        <v/>
      </c>
      <c r="S101" s="17" t="str">
        <f t="shared" si="66"/>
        <v/>
      </c>
      <c r="T101" s="17" t="str">
        <f t="shared" si="67"/>
        <v/>
      </c>
      <c r="U101" s="16" t="str">
        <f t="shared" si="55"/>
        <v/>
      </c>
      <c r="V101" s="17" t="str">
        <f t="shared" si="56"/>
        <v/>
      </c>
      <c r="W101" s="18">
        <f t="shared" si="68"/>
        <v>0</v>
      </c>
      <c r="X101" s="18">
        <f t="shared" si="69"/>
        <v>0</v>
      </c>
      <c r="Y101" s="18" t="str">
        <f t="shared" si="70"/>
        <v/>
      </c>
      <c r="Z101" s="19">
        <f>IF(W101=1,MAX(0,MIN(Settings!$B$6,(IFERROR(VLOOKUP(U100,'Bucket Status'!$A$4:$B$75,2,FALSE()),0)-(SUMIF($U$5:$U100,U100,$AK$5:$AK100)+SUMIF($V$5:$V100,U100,$AL$5:$AL100)+SUMIF($Y$5:$Y100,U100,$AA$5:$AA100)+SUMIF($AC$5:$AC100,U100,$AE$5:$AE100))))),IF(AB100&gt;0,AB100,0))</f>
        <v>0</v>
      </c>
      <c r="AA101" s="19">
        <f t="shared" ref="AA101:AA104" si="74">IFERROR(IF(I101="",0,MAX(0,MIN(Z101,I101))),0)</f>
        <v>0</v>
      </c>
      <c r="AB101" s="19">
        <f t="shared" ref="AB101:AB104" si="75">IFERROR(Z101-AA101,0)</f>
        <v>0</v>
      </c>
      <c r="AC101" s="18" t="str">
        <f t="shared" si="71"/>
        <v/>
      </c>
      <c r="AD101" s="19">
        <f>IF(X101=1,MAX(0,MIN(Settings!$B$6-Z101,(IFERROR(VLOOKUP(V100,'Bucket Status'!$A$4:$B$75,2,FALSE()),0)-(SUMIF($U$5:$U100,V100,$AK$5:$AK100)+SUMIF($V$5:$V100,V100,$AL$5:$AL100)+SUMIF($Y$5:$Y100,V100,$AA$5:$AA100)+SUMIF($AC$5:$AC100,V100,$AE$5:$AE100))))),IF(AF100&gt;0,AF100,0))</f>
        <v>0</v>
      </c>
      <c r="AE101" s="19">
        <f t="shared" ref="AE101:AE104" si="76">IFERROR(IF(I101="",0,MAX(0,MIN(AD101,I101-AA101))),0)</f>
        <v>0</v>
      </c>
      <c r="AF101" s="19">
        <f t="shared" ref="AF101:AF104" si="77">IFERROR(AD101-AE101,0)</f>
        <v>0</v>
      </c>
      <c r="AG101" s="20">
        <f>IFERROR(IF(C101="Y",Settings!$B$4+Settings!$B$5,0),0)</f>
        <v>0</v>
      </c>
      <c r="AH101" s="21" t="str">
        <f>IFERROR(IF(U101="","",IFERROR(VLOOKUP(U101,'Bucket Status'!$A$4:$B$75,2,FALSE()),0)-(SUMIF($U$5:$U100,U101,$AK$5:$AK100)+SUMIF($V$5:$V100,U101,$AL$5:$AL100)+SUMIF($Y$5:$Y100,U101,$AA$5:$AA100)+SUMIF($AC$5:$AC100,U101,$AE$5:$AE100))),"")</f>
        <v/>
      </c>
      <c r="AI101" s="22" t="str">
        <f>IFERROR(IF(V101="","",IFERROR(VLOOKUP(V101,'Bucket Status'!$A$4:$B$75,2,FALSE()),0)-(SUMIF($U$5:$U100,V101,$AK$5:$AK100)+SUMIF($V$5:$V100,V101,$AL$5:$AL100)+SUMIF($Y$5:$Y100,V101,$AA$5:$AA100)+SUMIF($AC$5:$AC100,V101,$AE$5:$AE100))),"")</f>
        <v/>
      </c>
      <c r="AJ101" s="23" t="str">
        <f t="shared" ref="AJ101:AJ104" si="78">IFERROR(IF(AH101="","",AH101+IF(AI101="",0,AI101)),"")</f>
        <v/>
      </c>
      <c r="AK101" s="21" t="str">
        <f t="shared" si="62"/>
        <v/>
      </c>
      <c r="AL101" s="22" t="str">
        <f t="shared" ref="AL101:AL104" si="79">IFERROR(IF(I101="","",IF(V101="",0,MAX(0,(I101-AA101-AE101)-AK101))),"")</f>
        <v/>
      </c>
    </row>
    <row r="102" spans="1:38" ht="18" customHeight="1" x14ac:dyDescent="0.3">
      <c r="A102" s="3"/>
      <c r="B102" s="50"/>
      <c r="C102" s="4"/>
      <c r="D102" s="5"/>
      <c r="E102" s="5"/>
      <c r="F102" s="6"/>
      <c r="G102" s="6"/>
      <c r="H102" s="7"/>
      <c r="I102" s="8" t="str">
        <f t="shared" si="72"/>
        <v/>
      </c>
      <c r="J102" s="9" t="str">
        <f t="shared" si="73"/>
        <v/>
      </c>
      <c r="K102" s="10" t="str">
        <f t="shared" si="50"/>
        <v/>
      </c>
      <c r="L102" s="11" t="str">
        <f t="shared" si="51"/>
        <v/>
      </c>
      <c r="M102" s="12" t="str">
        <f t="shared" si="52"/>
        <v/>
      </c>
      <c r="N102" s="13" t="str">
        <f t="shared" si="53"/>
        <v/>
      </c>
      <c r="O102" s="14" t="str">
        <f t="shared" si="54"/>
        <v/>
      </c>
      <c r="P102" s="15"/>
      <c r="Q102" s="16" t="str">
        <f t="shared" si="64"/>
        <v/>
      </c>
      <c r="R102" s="16" t="str">
        <f t="shared" si="65"/>
        <v/>
      </c>
      <c r="S102" s="17" t="str">
        <f t="shared" si="66"/>
        <v/>
      </c>
      <c r="T102" s="17" t="str">
        <f t="shared" si="67"/>
        <v/>
      </c>
      <c r="U102" s="16" t="str">
        <f t="shared" si="55"/>
        <v/>
      </c>
      <c r="V102" s="17" t="str">
        <f t="shared" si="56"/>
        <v/>
      </c>
      <c r="W102" s="18">
        <f t="shared" si="68"/>
        <v>0</v>
      </c>
      <c r="X102" s="18">
        <f t="shared" si="69"/>
        <v>0</v>
      </c>
      <c r="Y102" s="18" t="str">
        <f t="shared" si="70"/>
        <v/>
      </c>
      <c r="Z102" s="19">
        <f>IF(W102=1,MAX(0,MIN(Settings!$B$6,(IFERROR(VLOOKUP(U101,'Bucket Status'!$A$4:$B$75,2,FALSE()),0)-(SUMIF($U$5:$U101,U101,$AK$5:$AK101)+SUMIF($V$5:$V101,U101,$AL$5:$AL101)+SUMIF($Y$5:$Y101,U101,$AA$5:$AA101)+SUMIF($AC$5:$AC101,U101,$AE$5:$AE101))))),IF(AB101&gt;0,AB101,0))</f>
        <v>0</v>
      </c>
      <c r="AA102" s="19">
        <f t="shared" si="74"/>
        <v>0</v>
      </c>
      <c r="AB102" s="19">
        <f t="shared" si="75"/>
        <v>0</v>
      </c>
      <c r="AC102" s="18" t="str">
        <f t="shared" si="71"/>
        <v/>
      </c>
      <c r="AD102" s="19">
        <f>IF(X102=1,MAX(0,MIN(Settings!$B$6-Z102,(IFERROR(VLOOKUP(V101,'Bucket Status'!$A$4:$B$75,2,FALSE()),0)-(SUMIF($U$5:$U101,V101,$AK$5:$AK101)+SUMIF($V$5:$V101,V101,$AL$5:$AL101)+SUMIF($Y$5:$Y101,V101,$AA$5:$AA101)+SUMIF($AC$5:$AC101,V101,$AE$5:$AE101))))),IF(AF101&gt;0,AF101,0))</f>
        <v>0</v>
      </c>
      <c r="AE102" s="19">
        <f t="shared" si="76"/>
        <v>0</v>
      </c>
      <c r="AF102" s="19">
        <f t="shared" si="77"/>
        <v>0</v>
      </c>
      <c r="AG102" s="20">
        <f>IFERROR(IF(C102="Y",Settings!$B$4+Settings!$B$5,0),0)</f>
        <v>0</v>
      </c>
      <c r="AH102" s="21" t="str">
        <f>IFERROR(IF(U102="","",IFERROR(VLOOKUP(U102,'Bucket Status'!$A$4:$B$75,2,FALSE()),0)-(SUMIF($U$5:$U101,U102,$AK$5:$AK101)+SUMIF($V$5:$V101,U102,$AL$5:$AL101)+SUMIF($Y$5:$Y101,U102,$AA$5:$AA101)+SUMIF($AC$5:$AC101,U102,$AE$5:$AE101))),"")</f>
        <v/>
      </c>
      <c r="AI102" s="22" t="str">
        <f>IFERROR(IF(V102="","",IFERROR(VLOOKUP(V102,'Bucket Status'!$A$4:$B$75,2,FALSE()),0)-(SUMIF($U$5:$U101,V102,$AK$5:$AK101)+SUMIF($V$5:$V101,V102,$AL$5:$AL101)+SUMIF($Y$5:$Y101,V102,$AA$5:$AA101)+SUMIF($AC$5:$AC101,V102,$AE$5:$AE101))),"")</f>
        <v/>
      </c>
      <c r="AJ102" s="23" t="str">
        <f t="shared" si="78"/>
        <v/>
      </c>
      <c r="AK102" s="21" t="str">
        <f t="shared" si="62"/>
        <v/>
      </c>
      <c r="AL102" s="22" t="str">
        <f t="shared" si="79"/>
        <v/>
      </c>
    </row>
    <row r="103" spans="1:38" ht="18" customHeight="1" x14ac:dyDescent="0.3">
      <c r="A103" s="3"/>
      <c r="B103" s="50"/>
      <c r="C103" s="4"/>
      <c r="D103" s="5"/>
      <c r="E103" s="5"/>
      <c r="F103" s="6"/>
      <c r="G103" s="6"/>
      <c r="H103" s="7"/>
      <c r="I103" s="8" t="str">
        <f t="shared" si="72"/>
        <v/>
      </c>
      <c r="J103" s="9" t="str">
        <f t="shared" si="73"/>
        <v/>
      </c>
      <c r="K103" s="10" t="str">
        <f t="shared" si="50"/>
        <v/>
      </c>
      <c r="L103" s="11" t="str">
        <f t="shared" si="51"/>
        <v/>
      </c>
      <c r="M103" s="12" t="str">
        <f t="shared" si="52"/>
        <v/>
      </c>
      <c r="N103" s="13" t="str">
        <f t="shared" si="53"/>
        <v/>
      </c>
      <c r="O103" s="14" t="str">
        <f t="shared" si="54"/>
        <v/>
      </c>
      <c r="P103" s="15"/>
      <c r="Q103" s="16" t="str">
        <f t="shared" si="64"/>
        <v/>
      </c>
      <c r="R103" s="16" t="str">
        <f t="shared" si="65"/>
        <v/>
      </c>
      <c r="S103" s="17" t="str">
        <f t="shared" si="66"/>
        <v/>
      </c>
      <c r="T103" s="17" t="str">
        <f t="shared" si="67"/>
        <v/>
      </c>
      <c r="U103" s="16" t="str">
        <f t="shared" si="55"/>
        <v/>
      </c>
      <c r="V103" s="17" t="str">
        <f t="shared" si="56"/>
        <v/>
      </c>
      <c r="W103" s="18">
        <f t="shared" si="68"/>
        <v>0</v>
      </c>
      <c r="X103" s="18">
        <f t="shared" si="69"/>
        <v>0</v>
      </c>
      <c r="Y103" s="18" t="str">
        <f t="shared" si="70"/>
        <v/>
      </c>
      <c r="Z103" s="19">
        <f>IF(W103=1,MAX(0,MIN(Settings!$B$6,(IFERROR(VLOOKUP(U102,'Bucket Status'!$A$4:$B$75,2,FALSE()),0)-(SUMIF($U$5:$U102,U102,$AK$5:$AK102)+SUMIF($V$5:$V102,U102,$AL$5:$AL102)+SUMIF($Y$5:$Y102,U102,$AA$5:$AA102)+SUMIF($AC$5:$AC102,U102,$AE$5:$AE102))))),IF(AB102&gt;0,AB102,0))</f>
        <v>0</v>
      </c>
      <c r="AA103" s="19">
        <f t="shared" si="74"/>
        <v>0</v>
      </c>
      <c r="AB103" s="19">
        <f t="shared" si="75"/>
        <v>0</v>
      </c>
      <c r="AC103" s="18" t="str">
        <f t="shared" si="71"/>
        <v/>
      </c>
      <c r="AD103" s="19">
        <f>IF(X103=1,MAX(0,MIN(Settings!$B$6-Z103,(IFERROR(VLOOKUP(V102,'Bucket Status'!$A$4:$B$75,2,FALSE()),0)-(SUMIF($U$5:$U102,V102,$AK$5:$AK102)+SUMIF($V$5:$V102,V102,$AL$5:$AL102)+SUMIF($Y$5:$Y102,V102,$AA$5:$AA102)+SUMIF($AC$5:$AC102,V102,$AE$5:$AE102))))),IF(AF102&gt;0,AF102,0))</f>
        <v>0</v>
      </c>
      <c r="AE103" s="19">
        <f t="shared" si="76"/>
        <v>0</v>
      </c>
      <c r="AF103" s="19">
        <f t="shared" si="77"/>
        <v>0</v>
      </c>
      <c r="AG103" s="20">
        <f>IFERROR(IF(C103="Y",Settings!$B$4+Settings!$B$5,0),0)</f>
        <v>0</v>
      </c>
      <c r="AH103" s="21" t="str">
        <f>IFERROR(IF(U103="","",IFERROR(VLOOKUP(U103,'Bucket Status'!$A$4:$B$75,2,FALSE()),0)-(SUMIF($U$5:$U102,U103,$AK$5:$AK102)+SUMIF($V$5:$V102,U103,$AL$5:$AL102)+SUMIF($Y$5:$Y102,U103,$AA$5:$AA102)+SUMIF($AC$5:$AC102,U103,$AE$5:$AE102))),"")</f>
        <v/>
      </c>
      <c r="AI103" s="22" t="str">
        <f>IFERROR(IF(V103="","",IFERROR(VLOOKUP(V103,'Bucket Status'!$A$4:$B$75,2,FALSE()),0)-(SUMIF($U$5:$U102,V103,$AK$5:$AK102)+SUMIF($V$5:$V102,V103,$AL$5:$AL102)+SUMIF($Y$5:$Y102,V103,$AA$5:$AA102)+SUMIF($AC$5:$AC102,V103,$AE$5:$AE102))),"")</f>
        <v/>
      </c>
      <c r="AJ103" s="23" t="str">
        <f t="shared" si="78"/>
        <v/>
      </c>
      <c r="AK103" s="21" t="str">
        <f t="shared" si="62"/>
        <v/>
      </c>
      <c r="AL103" s="22" t="str">
        <f t="shared" si="79"/>
        <v/>
      </c>
    </row>
    <row r="104" spans="1:38" ht="18" customHeight="1" x14ac:dyDescent="0.3">
      <c r="A104" s="3"/>
      <c r="B104" s="50"/>
      <c r="C104" s="4"/>
      <c r="D104" s="5"/>
      <c r="E104" s="5"/>
      <c r="F104" s="6"/>
      <c r="G104" s="6"/>
      <c r="H104" s="7"/>
      <c r="I104" s="8" t="str">
        <f t="shared" si="72"/>
        <v/>
      </c>
      <c r="J104" s="9" t="str">
        <f t="shared" si="73"/>
        <v/>
      </c>
      <c r="K104" s="10" t="str">
        <f t="shared" si="50"/>
        <v/>
      </c>
      <c r="L104" s="11" t="str">
        <f t="shared" si="51"/>
        <v/>
      </c>
      <c r="M104" s="12" t="str">
        <f t="shared" si="52"/>
        <v/>
      </c>
      <c r="N104" s="13" t="str">
        <f t="shared" si="53"/>
        <v/>
      </c>
      <c r="O104" s="14" t="str">
        <f t="shared" si="54"/>
        <v/>
      </c>
      <c r="P104" s="15"/>
      <c r="Q104" s="16" t="str">
        <f t="shared" si="64"/>
        <v/>
      </c>
      <c r="R104" s="16" t="str">
        <f t="shared" si="65"/>
        <v/>
      </c>
      <c r="S104" s="17" t="str">
        <f t="shared" si="66"/>
        <v/>
      </c>
      <c r="T104" s="17" t="str">
        <f t="shared" si="67"/>
        <v/>
      </c>
      <c r="U104" s="16" t="str">
        <f t="shared" si="55"/>
        <v/>
      </c>
      <c r="V104" s="17" t="str">
        <f t="shared" si="56"/>
        <v/>
      </c>
      <c r="W104" s="18">
        <f t="shared" si="68"/>
        <v>0</v>
      </c>
      <c r="X104" s="18">
        <f t="shared" si="69"/>
        <v>0</v>
      </c>
      <c r="Y104" s="18" t="str">
        <f t="shared" si="70"/>
        <v/>
      </c>
      <c r="Z104" s="19">
        <f>IF(W104=1,MAX(0,MIN(Settings!$B$6,(IFERROR(VLOOKUP(U103,'Bucket Status'!$A$4:$B$75,2,FALSE()),0)-(SUMIF($U$5:$U103,U103,$AK$5:$AK103)+SUMIF($V$5:$V103,U103,$AL$5:$AL103)+SUMIF($Y$5:$Y103,U103,$AA$5:$AA103)+SUMIF($AC$5:$AC103,U103,$AE$5:$AE103))))),IF(AB103&gt;0,AB103,0))</f>
        <v>0</v>
      </c>
      <c r="AA104" s="19">
        <f t="shared" si="74"/>
        <v>0</v>
      </c>
      <c r="AB104" s="19">
        <f t="shared" si="75"/>
        <v>0</v>
      </c>
      <c r="AC104" s="18" t="str">
        <f t="shared" si="71"/>
        <v/>
      </c>
      <c r="AD104" s="19">
        <f>IF(X104=1,MAX(0,MIN(Settings!$B$6-Z104,(IFERROR(VLOOKUP(V103,'Bucket Status'!$A$4:$B$75,2,FALSE()),0)-(SUMIF($U$5:$U103,V103,$AK$5:$AK103)+SUMIF($V$5:$V103,V103,$AL$5:$AL103)+SUMIF($Y$5:$Y103,V103,$AA$5:$AA103)+SUMIF($AC$5:$AC103,V103,$AE$5:$AE103))))),IF(AF103&gt;0,AF103,0))</f>
        <v>0</v>
      </c>
      <c r="AE104" s="19">
        <f t="shared" si="76"/>
        <v>0</v>
      </c>
      <c r="AF104" s="19">
        <f t="shared" si="77"/>
        <v>0</v>
      </c>
      <c r="AG104" s="20">
        <f>IFERROR(IF(C104="Y",Settings!$B$4+Settings!$B$5,0),0)</f>
        <v>0</v>
      </c>
      <c r="AH104" s="21" t="str">
        <f>IFERROR(IF(U104="","",IFERROR(VLOOKUP(U104,'Bucket Status'!$A$4:$B$75,2,FALSE()),0)-(SUMIF($U$5:$U103,U104,$AK$5:$AK103)+SUMIF($V$5:$V103,U104,$AL$5:$AL103)+SUMIF($Y$5:$Y103,U104,$AA$5:$AA103)+SUMIF($AC$5:$AC103,U104,$AE$5:$AE103))),"")</f>
        <v/>
      </c>
      <c r="AI104" s="22" t="str">
        <f>IFERROR(IF(V104="","",IFERROR(VLOOKUP(V104,'Bucket Status'!$A$4:$B$75,2,FALSE()),0)-(SUMIF($U$5:$U103,V104,$AK$5:$AK103)+SUMIF($V$5:$V103,V104,$AL$5:$AL103)+SUMIF($Y$5:$Y103,V104,$AA$5:$AA103)+SUMIF($AC$5:$AC103,V104,$AE$5:$AE103))),"")</f>
        <v/>
      </c>
      <c r="AJ104" s="23" t="str">
        <f t="shared" si="78"/>
        <v/>
      </c>
      <c r="AK104" s="21" t="str">
        <f t="shared" si="62"/>
        <v/>
      </c>
      <c r="AL104" s="22" t="str">
        <f t="shared" si="79"/>
        <v/>
      </c>
    </row>
    <row r="105" spans="1:38" ht="19.5" customHeight="1" x14ac:dyDescent="0.3">
      <c r="A105" s="62" t="s">
        <v>48</v>
      </c>
      <c r="B105" s="62"/>
      <c r="C105" s="62"/>
      <c r="D105" s="62"/>
      <c r="E105" s="62"/>
      <c r="F105" s="62"/>
      <c r="G105" s="62"/>
      <c r="H105" s="27">
        <f>SUM(H5:H104)</f>
        <v>68.63</v>
      </c>
      <c r="I105" s="27">
        <f>SUM(I5:I104)</f>
        <v>69.83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7">
        <f>SUM(AA5:AA104)</f>
        <v>3.2900000000000005</v>
      </c>
      <c r="AB105" s="28"/>
      <c r="AC105" s="28"/>
      <c r="AD105" s="28"/>
      <c r="AE105" s="27">
        <f>SUM(AE5:AE104)</f>
        <v>16.719999999999995</v>
      </c>
      <c r="AF105" s="28"/>
      <c r="AG105" s="27">
        <f>SUM(AG5:AG104)</f>
        <v>1.2</v>
      </c>
      <c r="AH105" s="28"/>
      <c r="AI105" s="28"/>
      <c r="AJ105" s="28"/>
      <c r="AK105" s="27">
        <f>SUM(AK5:AK104)</f>
        <v>31.310000000000002</v>
      </c>
      <c r="AL105" s="27">
        <f>SUM(AL5:AL104)</f>
        <v>18.510000000000005</v>
      </c>
    </row>
  </sheetData>
  <sheetProtection formatColumns="0" formatRows="0"/>
  <mergeCells count="9">
    <mergeCell ref="A105:G105"/>
    <mergeCell ref="A1:AL1"/>
    <mergeCell ref="A2:C2"/>
    <mergeCell ref="D2:E2"/>
    <mergeCell ref="F2:G2"/>
    <mergeCell ref="I2:J2"/>
    <mergeCell ref="K2:M2"/>
    <mergeCell ref="N2:O2"/>
    <mergeCell ref="Q2:AJ2"/>
  </mergeCells>
  <conditionalFormatting sqref="I5:I104">
    <cfRule type="expression" dxfId="3" priority="2">
      <formula>AND($I5&lt;&gt;"",$AJ5&lt;&gt;"",(AK5+AL5)&gt;$AJ5)</formula>
    </cfRule>
  </conditionalFormatting>
  <conditionalFormatting sqref="J5:J104">
    <cfRule type="expression" dxfId="2" priority="3">
      <formula>AND($J5&lt;&gt;"",$J5&lt;0)</formula>
    </cfRule>
  </conditionalFormatting>
  <dataValidations count="3">
    <dataValidation type="list" allowBlank="1" sqref="C5:C104" xr:uid="{00000000-0002-0000-0100-000000000000}">
      <formula1>"Y,N"</formula1>
      <formula2>0</formula2>
    </dataValidation>
    <dataValidation type="list" allowBlank="1" sqref="D5:D104 F5:F104" xr:uid="{00000000-0002-0000-0100-000001000000}">
      <formula1>"M1,M2,M3,M4,M5,M6,M7,M8,M9"</formula1>
      <formula2>0</formula2>
    </dataValidation>
    <dataValidation type="list" allowBlank="1" sqref="E5:E104 G5:G104" xr:uid="{00000000-0002-0000-0100-000002000000}">
      <formula1>"A,B,C,D,E,F,G,H"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100-000004000000}">
            <xm:f>AND($J5&lt;&gt;"",$J5&gt;=0,$J5&lt;=Settings!$B$3)</xm:f>
            <x14:dxf>
              <font>
                <b/>
                <sz val="12"/>
                <color rgb="FF7F6000"/>
                <name val="Arial"/>
                <charset val="1"/>
              </font>
              <fill>
                <patternFill>
                  <bgColor rgb="FFFFEB9C"/>
                </patternFill>
              </fill>
            </x14:dxf>
          </x14:cfRule>
          <x14:cfRule type="expression" priority="5" id="{00000000-000E-0000-0100-000005000000}">
            <xm:f>AND($J5&lt;&gt;"",$J5&gt;Settings!$B$3)</xm:f>
            <x14:dxf>
              <font>
                <b/>
                <sz val="12"/>
                <color rgb="FF375623"/>
                <name val="Arial"/>
                <charset val="1"/>
              </font>
              <fill>
                <patternFill>
                  <bgColor rgb="FFC6EFCE"/>
                </patternFill>
              </fill>
            </x14:dxf>
          </x14:cfRule>
          <xm:sqref>J5:J104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tabSelected="1" zoomScaleNormal="100" workbookViewId="0">
      <pane ySplit="3" topLeftCell="A16" activePane="bottomLeft" state="frozen"/>
      <selection pane="bottomLeft" activeCell="E38" sqref="E38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4" style="51" customWidth="1"/>
    <col min="4" max="4" width="18" customWidth="1"/>
    <col min="5" max="5" width="20" customWidth="1"/>
    <col min="6" max="6" width="12" customWidth="1"/>
    <col min="7" max="8" width="22" customWidth="1"/>
  </cols>
  <sheetData>
    <row r="1" spans="1:8" ht="27.75" customHeight="1" x14ac:dyDescent="0.3">
      <c r="A1" s="68" t="s">
        <v>50</v>
      </c>
      <c r="B1" s="68"/>
      <c r="C1" s="68"/>
      <c r="D1" s="68"/>
      <c r="E1" s="68"/>
      <c r="F1" s="68"/>
      <c r="G1" s="68"/>
      <c r="H1" s="68"/>
    </row>
    <row r="2" spans="1:8" ht="15.75" customHeight="1" x14ac:dyDescent="0.3">
      <c r="A2" s="1" t="s">
        <v>51</v>
      </c>
      <c r="B2" s="64" t="s">
        <v>52</v>
      </c>
      <c r="C2" s="64"/>
      <c r="D2" s="1" t="s">
        <v>53</v>
      </c>
      <c r="E2" s="1" t="s">
        <v>54</v>
      </c>
      <c r="F2" s="1" t="s">
        <v>55</v>
      </c>
      <c r="G2" s="1" t="s">
        <v>8</v>
      </c>
      <c r="H2" s="1" t="s">
        <v>56</v>
      </c>
    </row>
    <row r="3" spans="1:8" ht="33.75" customHeight="1" x14ac:dyDescent="0.3">
      <c r="A3" s="29" t="s">
        <v>51</v>
      </c>
      <c r="B3" s="29" t="s">
        <v>57</v>
      </c>
      <c r="C3" s="54" t="s">
        <v>58</v>
      </c>
      <c r="D3" s="29" t="s">
        <v>18</v>
      </c>
      <c r="E3" s="29" t="s">
        <v>59</v>
      </c>
      <c r="F3" s="29" t="s">
        <v>55</v>
      </c>
      <c r="G3" s="29" t="s">
        <v>8</v>
      </c>
      <c r="H3" s="29" t="s">
        <v>60</v>
      </c>
    </row>
    <row r="4" spans="1:8" ht="19.5" customHeight="1" x14ac:dyDescent="0.3">
      <c r="A4" s="30" t="s">
        <v>61</v>
      </c>
      <c r="B4" s="7">
        <v>4.5199999999999996</v>
      </c>
      <c r="C4" s="50">
        <v>46275</v>
      </c>
      <c r="D4" s="31">
        <f>IFERROR(SUMIF('Old P110'!$U$5:$U$104,A4,'Old P110'!$AK$5:$AK$104)+SUMIF('Old P110'!$V$5:$V$104,A4,'Old P110'!$AL$5:$AL$104)+SUMIF('Old P110'!$Y$5:$Y$104,A4,'Old P110'!$AA$5:$AA$104)+SUMIF('Old P110'!$AC$5:$AC$104,A4,'Old P110'!$AE$5:$AE$104)+SUMIF('New P110'!$U$5:$U$104,A4,'New P110'!$AK$5:$AK$104)+SUMIF('New P110'!$V$5:$V$104,A4,'New P110'!$AL$5:$AL$104)+SUMIF('New P110'!$Y$5:$Y$104,A4,'New P110'!$AA$5:$AA$104)+SUMIF('New P110'!$AC$5:$AC$104,A4,'New P110'!$AE$5:$AE$104),0)</f>
        <v>4.5199999999999996</v>
      </c>
      <c r="E4" s="32">
        <f t="shared" ref="E4:E35" si="0">IFERROR(IF(B4="","Not filled",B4-D4),"Not filled")</f>
        <v>0</v>
      </c>
      <c r="F4" s="33" t="str">
        <f>IF(B4="","Not filled",IF(E4&lt;=0,"Empty",IF(E4&lt;Settings!$B$3,"Low","OK")))</f>
        <v>Empty</v>
      </c>
      <c r="G4" s="15"/>
      <c r="H4" s="34" t="str">
        <f t="shared" ref="H4:H35" si="1">IF(C4="","",A4&amp;TEXT(C4,"yyyymmdd"))</f>
        <v>M1A-20260910</v>
      </c>
    </row>
    <row r="5" spans="1:8" ht="19.5" customHeight="1" x14ac:dyDescent="0.3">
      <c r="A5" s="30" t="s">
        <v>62</v>
      </c>
      <c r="B5" s="7">
        <v>4.72</v>
      </c>
      <c r="C5" s="50">
        <v>46275</v>
      </c>
      <c r="D5" s="31">
        <f>IFERROR(SUMIF('Old P110'!$U$5:$U$104,A5,'Old P110'!$AK$5:$AK$104)+SUMIF('Old P110'!$V$5:$V$104,A5,'Old P110'!$AL$5:$AL$104)+SUMIF('Old P110'!$Y$5:$Y$104,A5,'Old P110'!$AA$5:$AA$104)+SUMIF('Old P110'!$AC$5:$AC$104,A5,'Old P110'!$AE$5:$AE$104)+SUMIF('New P110'!$U$5:$U$104,A5,'New P110'!$AK$5:$AK$104)+SUMIF('New P110'!$V$5:$V$104,A5,'New P110'!$AL$5:$AL$104)+SUMIF('New P110'!$Y$5:$Y$104,A5,'New P110'!$AA$5:$AA$104)+SUMIF('New P110'!$AC$5:$AC$104,A5,'New P110'!$AE$5:$AE$104),0)</f>
        <v>4.72</v>
      </c>
      <c r="E5" s="32">
        <f t="shared" si="0"/>
        <v>0</v>
      </c>
      <c r="F5" s="33" t="str">
        <f>IF(B5="","Not filled",IF(E5&lt;=0,"Empty",IF(E5&lt;Settings!$B$3,"Low","OK")))</f>
        <v>Empty</v>
      </c>
      <c r="G5" s="15"/>
      <c r="H5" s="34" t="str">
        <f t="shared" si="1"/>
        <v>M1B-20260910</v>
      </c>
    </row>
    <row r="6" spans="1:8" ht="19.5" customHeight="1" x14ac:dyDescent="0.3">
      <c r="A6" s="30" t="s">
        <v>63</v>
      </c>
      <c r="B6" s="7">
        <v>4.63</v>
      </c>
      <c r="C6" s="50">
        <v>46275</v>
      </c>
      <c r="D6" s="31">
        <f>IFERROR(SUMIF('Old P110'!$U$5:$U$104,A6,'Old P110'!$AK$5:$AK$104)+SUMIF('Old P110'!$V$5:$V$104,A6,'Old P110'!$AL$5:$AL$104)+SUMIF('Old P110'!$Y$5:$Y$104,A6,'Old P110'!$AA$5:$AA$104)+SUMIF('Old P110'!$AC$5:$AC$104,A6,'Old P110'!$AE$5:$AE$104)+SUMIF('New P110'!$U$5:$U$104,A6,'New P110'!$AK$5:$AK$104)+SUMIF('New P110'!$V$5:$V$104,A6,'New P110'!$AL$5:$AL$104)+SUMIF('New P110'!$Y$5:$Y$104,A6,'New P110'!$AA$5:$AA$104)+SUMIF('New P110'!$AC$5:$AC$104,A6,'New P110'!$AE$5:$AE$104),0)</f>
        <v>4.63</v>
      </c>
      <c r="E6" s="32">
        <f t="shared" si="0"/>
        <v>0</v>
      </c>
      <c r="F6" s="33" t="str">
        <f>IF(B6="","Not filled",IF(E6&lt;=0,"Empty",IF(E6&lt;Settings!$B$3,"Low","OK")))</f>
        <v>Empty</v>
      </c>
      <c r="G6" s="15"/>
      <c r="H6" s="34" t="str">
        <f t="shared" si="1"/>
        <v>M1C-20260910</v>
      </c>
    </row>
    <row r="7" spans="1:8" ht="19.5" customHeight="1" x14ac:dyDescent="0.3">
      <c r="A7" s="30" t="s">
        <v>64</v>
      </c>
      <c r="B7" s="7">
        <v>4.8600000000000003</v>
      </c>
      <c r="C7" s="50">
        <v>46275</v>
      </c>
      <c r="D7" s="31">
        <f>IFERROR(SUMIF('Old P110'!$U$5:$U$104,A7,'Old P110'!$AK$5:$AK$104)+SUMIF('Old P110'!$V$5:$V$104,A7,'Old P110'!$AL$5:$AL$104)+SUMIF('Old P110'!$Y$5:$Y$104,A7,'Old P110'!$AA$5:$AA$104)+SUMIF('Old P110'!$AC$5:$AC$104,A7,'Old P110'!$AE$5:$AE$104)+SUMIF('New P110'!$U$5:$U$104,A7,'New P110'!$AK$5:$AK$104)+SUMIF('New P110'!$V$5:$V$104,A7,'New P110'!$AL$5:$AL$104)+SUMIF('New P110'!$Y$5:$Y$104,A7,'New P110'!$AA$5:$AA$104)+SUMIF('New P110'!$AC$5:$AC$104,A7,'New P110'!$AE$5:$AE$104),0)</f>
        <v>4.8600000000000003</v>
      </c>
      <c r="E7" s="32">
        <f t="shared" si="0"/>
        <v>0</v>
      </c>
      <c r="F7" s="33" t="str">
        <f>IF(B7="","Not filled",IF(E7&lt;=0,"Empty",IF(E7&lt;Settings!$B$3,"Low","OK")))</f>
        <v>Empty</v>
      </c>
      <c r="G7" s="15"/>
      <c r="H7" s="34" t="str">
        <f t="shared" si="1"/>
        <v>M1D-20260910</v>
      </c>
    </row>
    <row r="8" spans="1:8" ht="19.5" customHeight="1" x14ac:dyDescent="0.3">
      <c r="A8" s="30" t="s">
        <v>65</v>
      </c>
      <c r="B8" s="7">
        <v>4.55</v>
      </c>
      <c r="C8" s="50">
        <v>46275</v>
      </c>
      <c r="D8" s="31">
        <f>IFERROR(SUMIF('Old P110'!$U$5:$U$104,A8,'Old P110'!$AK$5:$AK$104)+SUMIF('Old P110'!$V$5:$V$104,A8,'Old P110'!$AL$5:$AL$104)+SUMIF('Old P110'!$Y$5:$Y$104,A8,'Old P110'!$AA$5:$AA$104)+SUMIF('Old P110'!$AC$5:$AC$104,A8,'Old P110'!$AE$5:$AE$104)+SUMIF('New P110'!$U$5:$U$104,A8,'New P110'!$AK$5:$AK$104)+SUMIF('New P110'!$V$5:$V$104,A8,'New P110'!$AL$5:$AL$104)+SUMIF('New P110'!$Y$5:$Y$104,A8,'New P110'!$AA$5:$AA$104)+SUMIF('New P110'!$AC$5:$AC$104,A8,'New P110'!$AE$5:$AE$104),0)</f>
        <v>4.55</v>
      </c>
      <c r="E8" s="32">
        <f t="shared" si="0"/>
        <v>0</v>
      </c>
      <c r="F8" s="33" t="str">
        <f>IF(B8="","Not filled",IF(E8&lt;=0,"Empty",IF(E8&lt;Settings!$B$3,"Low","OK")))</f>
        <v>Empty</v>
      </c>
      <c r="G8" s="15"/>
      <c r="H8" s="34" t="str">
        <f t="shared" si="1"/>
        <v>M1E-20260910</v>
      </c>
    </row>
    <row r="9" spans="1:8" ht="19.5" customHeight="1" x14ac:dyDescent="0.3">
      <c r="A9" s="30" t="s">
        <v>66</v>
      </c>
      <c r="B9" s="7">
        <v>4.6399999999999997</v>
      </c>
      <c r="C9" s="50">
        <v>46275</v>
      </c>
      <c r="D9" s="31">
        <f>IFERROR(SUMIF('Old P110'!$U$5:$U$104,A9,'Old P110'!$AK$5:$AK$104)+SUMIF('Old P110'!$V$5:$V$104,A9,'Old P110'!$AL$5:$AL$104)+SUMIF('Old P110'!$Y$5:$Y$104,A9,'Old P110'!$AA$5:$AA$104)+SUMIF('Old P110'!$AC$5:$AC$104,A9,'Old P110'!$AE$5:$AE$104)+SUMIF('New P110'!$U$5:$U$104,A9,'New P110'!$AK$5:$AK$104)+SUMIF('New P110'!$V$5:$V$104,A9,'New P110'!$AL$5:$AL$104)+SUMIF('New P110'!$Y$5:$Y$104,A9,'New P110'!$AA$5:$AA$104)+SUMIF('New P110'!$AC$5:$AC$104,A9,'New P110'!$AE$5:$AE$104),0)</f>
        <v>4.6399999999999997</v>
      </c>
      <c r="E9" s="32">
        <f t="shared" si="0"/>
        <v>0</v>
      </c>
      <c r="F9" s="33" t="str">
        <f>IF(B9="","Not filled",IF(E9&lt;=0,"Empty",IF(E9&lt;Settings!$B$3,"Low","OK")))</f>
        <v>Empty</v>
      </c>
      <c r="G9" s="15"/>
      <c r="H9" s="34" t="str">
        <f t="shared" si="1"/>
        <v>M1F-20260910</v>
      </c>
    </row>
    <row r="10" spans="1:8" ht="19.5" customHeight="1" x14ac:dyDescent="0.3">
      <c r="A10" s="30" t="s">
        <v>67</v>
      </c>
      <c r="B10" s="7">
        <v>4.8099999999999996</v>
      </c>
      <c r="C10" s="50">
        <v>46275</v>
      </c>
      <c r="D10" s="31">
        <f>IFERROR(SUMIF('Old P110'!$U$5:$U$104,A10,'Old P110'!$AK$5:$AK$104)+SUMIF('Old P110'!$V$5:$V$104,A10,'Old P110'!$AL$5:$AL$104)+SUMIF('Old P110'!$Y$5:$Y$104,A10,'Old P110'!$AA$5:$AA$104)+SUMIF('Old P110'!$AC$5:$AC$104,A10,'Old P110'!$AE$5:$AE$104)+SUMIF('New P110'!$U$5:$U$104,A10,'New P110'!$AK$5:$AK$104)+SUMIF('New P110'!$V$5:$V$104,A10,'New P110'!$AL$5:$AL$104)+SUMIF('New P110'!$Y$5:$Y$104,A10,'New P110'!$AA$5:$AA$104)+SUMIF('New P110'!$AC$5:$AC$104,A10,'New P110'!$AE$5:$AE$104),0)</f>
        <v>4.8099999999999996</v>
      </c>
      <c r="E10" s="32">
        <f t="shared" si="0"/>
        <v>0</v>
      </c>
      <c r="F10" s="33" t="str">
        <f>IF(B10="","Not filled",IF(E10&lt;=0,"Empty",IF(E10&lt;Settings!$B$3,"Low","OK")))</f>
        <v>Empty</v>
      </c>
      <c r="G10" s="15"/>
      <c r="H10" s="34" t="str">
        <f t="shared" si="1"/>
        <v>M1G-20260910</v>
      </c>
    </row>
    <row r="11" spans="1:8" ht="19.5" customHeight="1" x14ac:dyDescent="0.3">
      <c r="A11" s="30" t="s">
        <v>68</v>
      </c>
      <c r="B11" s="7">
        <v>4.5999999999999996</v>
      </c>
      <c r="C11" s="50">
        <v>46275</v>
      </c>
      <c r="D11" s="31">
        <f>IFERROR(SUMIF('Old P110'!$U$5:$U$104,A11,'Old P110'!$AK$5:$AK$104)+SUMIF('Old P110'!$V$5:$V$104,A11,'Old P110'!$AL$5:$AL$104)+SUMIF('Old P110'!$Y$5:$Y$104,A11,'Old P110'!$AA$5:$AA$104)+SUMIF('Old P110'!$AC$5:$AC$104,A11,'Old P110'!$AE$5:$AE$104)+SUMIF('New P110'!$U$5:$U$104,A11,'New P110'!$AK$5:$AK$104)+SUMIF('New P110'!$V$5:$V$104,A11,'New P110'!$AL$5:$AL$104)+SUMIF('New P110'!$Y$5:$Y$104,A11,'New P110'!$AA$5:$AA$104)+SUMIF('New P110'!$AC$5:$AC$104,A11,'New P110'!$AE$5:$AE$104),0)</f>
        <v>4.5999999999999996</v>
      </c>
      <c r="E11" s="32">
        <f t="shared" si="0"/>
        <v>0</v>
      </c>
      <c r="F11" s="33" t="str">
        <f>IF(B11="","Not filled",IF(E11&lt;=0,"Empty",IF(E11&lt;Settings!$B$3,"Low","OK")))</f>
        <v>Empty</v>
      </c>
      <c r="G11" s="15"/>
      <c r="H11" s="34" t="str">
        <f t="shared" si="1"/>
        <v>M1H-20260910</v>
      </c>
    </row>
    <row r="12" spans="1:8" ht="19.5" customHeight="1" x14ac:dyDescent="0.3">
      <c r="A12" s="35" t="s">
        <v>69</v>
      </c>
      <c r="B12" s="7">
        <v>5.05</v>
      </c>
      <c r="C12" s="50">
        <v>46282</v>
      </c>
      <c r="D12" s="31">
        <v>5.09</v>
      </c>
      <c r="E12" s="32">
        <v>4.78</v>
      </c>
      <c r="F12" s="33" t="str">
        <f>IF(B12="","Not filled",IF(E12&lt;=0,"Empty",IF(E12&lt;Settings!$B$3,"Low","OK")))</f>
        <v>OK</v>
      </c>
      <c r="G12" s="15"/>
      <c r="H12" s="34" t="str">
        <f t="shared" si="1"/>
        <v>M2A-20260917</v>
      </c>
    </row>
    <row r="13" spans="1:8" ht="19.5" customHeight="1" x14ac:dyDescent="0.3">
      <c r="A13" s="35" t="s">
        <v>70</v>
      </c>
      <c r="B13" s="7">
        <v>4.95</v>
      </c>
      <c r="C13" s="50">
        <v>46282</v>
      </c>
      <c r="D13" s="31">
        <f>IFERROR(SUMIF('Old P110'!$U$5:$U$104,A13,'Old P110'!$AK$5:$AK$104)+SUMIF('Old P110'!$V$5:$V$104,A13,'Old P110'!$AL$5:$AL$104)+SUMIF('Old P110'!$Y$5:$Y$104,A13,'Old P110'!$AA$5:$AA$104)+SUMIF('Old P110'!$AC$5:$AC$104,A13,'Old P110'!$AE$5:$AE$104)+SUMIF('New P110'!$U$5:$U$104,A13,'New P110'!$AK$5:$AK$104)+SUMIF('New P110'!$V$5:$V$104,A13,'New P110'!$AL$5:$AL$104)+SUMIF('New P110'!$Y$5:$Y$104,A13,'New P110'!$AA$5:$AA$104)+SUMIF('New P110'!$AC$5:$AC$104,A13,'New P110'!$AE$5:$AE$104),0)</f>
        <v>4.95</v>
      </c>
      <c r="E13" s="32">
        <f t="shared" si="0"/>
        <v>0</v>
      </c>
      <c r="F13" s="33" t="str">
        <f>IF(B13="","Not filled",IF(E13&lt;=0,"Empty",IF(E13&lt;Settings!$B$3,"Low","OK")))</f>
        <v>Empty</v>
      </c>
      <c r="G13" s="15"/>
      <c r="H13" s="34" t="str">
        <f t="shared" si="1"/>
        <v>M2B-20260917</v>
      </c>
    </row>
    <row r="14" spans="1:8" ht="19.5" customHeight="1" x14ac:dyDescent="0.3">
      <c r="A14" s="35" t="s">
        <v>71</v>
      </c>
      <c r="B14" s="7">
        <v>5.09</v>
      </c>
      <c r="C14" s="50">
        <v>46282</v>
      </c>
      <c r="D14" s="31">
        <f>IFERROR(SUMIF('Old P110'!$U$5:$U$104,A14,'Old P110'!$AK$5:$AK$104)+SUMIF('Old P110'!$V$5:$V$104,A14,'Old P110'!$AL$5:$AL$104)+SUMIF('Old P110'!$Y$5:$Y$104,A14,'Old P110'!$AA$5:$AA$104)+SUMIF('Old P110'!$AC$5:$AC$104,A14,'Old P110'!$AE$5:$AE$104)+SUMIF('New P110'!$U$5:$U$104,A14,'New P110'!$AK$5:$AK$104)+SUMIF('New P110'!$V$5:$V$104,A14,'New P110'!$AL$5:$AL$104)+SUMIF('New P110'!$Y$5:$Y$104,A14,'New P110'!$AA$5:$AA$104)+SUMIF('New P110'!$AC$5:$AC$104,A14,'New P110'!$AE$5:$AE$104),0)</f>
        <v>5.09</v>
      </c>
      <c r="E14" s="32">
        <f t="shared" si="0"/>
        <v>0</v>
      </c>
      <c r="F14" s="33" t="str">
        <f>IF(B14="","Not filled",IF(E14&lt;=0,"Empty",IF(E14&lt;Settings!$B$3,"Low","OK")))</f>
        <v>Empty</v>
      </c>
      <c r="G14" s="15"/>
      <c r="H14" s="34" t="str">
        <f t="shared" si="1"/>
        <v>M2C-20260917</v>
      </c>
    </row>
    <row r="15" spans="1:8" ht="19.5" customHeight="1" x14ac:dyDescent="0.3">
      <c r="A15" s="35" t="s">
        <v>72</v>
      </c>
      <c r="B15" s="7">
        <v>4.78</v>
      </c>
      <c r="C15" s="50">
        <v>46282</v>
      </c>
      <c r="D15" s="31">
        <f>IFERROR(SUMIF('Old P110'!$U$5:$U$104,A15,'Old P110'!$AK$5:$AK$104)+SUMIF('Old P110'!$V$5:$V$104,A15,'Old P110'!$AL$5:$AL$104)+SUMIF('Old P110'!$Y$5:$Y$104,A15,'Old P110'!$AA$5:$AA$104)+SUMIF('Old P110'!$AC$5:$AC$104,A15,'Old P110'!$AE$5:$AE$104)+SUMIF('New P110'!$U$5:$U$104,A15,'New P110'!$AK$5:$AK$104)+SUMIF('New P110'!$V$5:$V$104,A15,'New P110'!$AL$5:$AL$104)+SUMIF('New P110'!$Y$5:$Y$104,A15,'New P110'!$AA$5:$AA$104)+SUMIF('New P110'!$AC$5:$AC$104,A15,'New P110'!$AE$5:$AE$104),0)</f>
        <v>4.78</v>
      </c>
      <c r="E15" s="32">
        <f t="shared" si="0"/>
        <v>0</v>
      </c>
      <c r="F15" s="33" t="str">
        <f>IF(B15="","Not filled",IF(E15&lt;=0,"Empty",IF(E15&lt;Settings!$B$3,"Low","OK")))</f>
        <v>Empty</v>
      </c>
      <c r="G15" s="15"/>
      <c r="H15" s="34" t="str">
        <f t="shared" si="1"/>
        <v>M2D-20260917</v>
      </c>
    </row>
    <row r="16" spans="1:8" ht="19.5" customHeight="1" x14ac:dyDescent="0.3">
      <c r="A16" s="35" t="s">
        <v>73</v>
      </c>
      <c r="B16" s="7">
        <v>4.93</v>
      </c>
      <c r="C16" s="50">
        <v>46282</v>
      </c>
      <c r="D16" s="31">
        <f>IFERROR(SUMIF('Old P110'!$U$5:$U$104,A16,'Old P110'!$AK$5:$AK$104)+SUMIF('Old P110'!$V$5:$V$104,A16,'Old P110'!$AL$5:$AL$104)+SUMIF('Old P110'!$Y$5:$Y$104,A16,'Old P110'!$AA$5:$AA$104)+SUMIF('Old P110'!$AC$5:$AC$104,A16,'Old P110'!$AE$5:$AE$104)+SUMIF('New P110'!$U$5:$U$104,A16,'New P110'!$AK$5:$AK$104)+SUMIF('New P110'!$V$5:$V$104,A16,'New P110'!$AL$5:$AL$104)+SUMIF('New P110'!$Y$5:$Y$104,A16,'New P110'!$AA$5:$AA$104)+SUMIF('New P110'!$AC$5:$AC$104,A16,'New P110'!$AE$5:$AE$104),0)</f>
        <v>4.93</v>
      </c>
      <c r="E16" s="32">
        <f t="shared" si="0"/>
        <v>0</v>
      </c>
      <c r="F16" s="33" t="str">
        <f>IF(B16="","Not filled",IF(E16&lt;=0,"Empty",IF(E16&lt;Settings!$B$3,"Low","OK")))</f>
        <v>Empty</v>
      </c>
      <c r="G16" s="15"/>
      <c r="H16" s="34" t="str">
        <f t="shared" si="1"/>
        <v>M2E-20260917</v>
      </c>
    </row>
    <row r="17" spans="1:8" ht="19.5" customHeight="1" x14ac:dyDescent="0.3">
      <c r="A17" s="35" t="s">
        <v>74</v>
      </c>
      <c r="B17" s="7">
        <v>5.12</v>
      </c>
      <c r="C17" s="50">
        <v>46282</v>
      </c>
      <c r="D17" s="31">
        <f>IFERROR(SUMIF('Old P110'!$U$5:$U$104,A17,'Old P110'!$AK$5:$AK$104)+SUMIF('Old P110'!$V$5:$V$104,A17,'Old P110'!$AL$5:$AL$104)+SUMIF('Old P110'!$Y$5:$Y$104,A17,'Old P110'!$AA$5:$AA$104)+SUMIF('Old P110'!$AC$5:$AC$104,A17,'Old P110'!$AE$5:$AE$104)+SUMIF('New P110'!$U$5:$U$104,A17,'New P110'!$AK$5:$AK$104)+SUMIF('New P110'!$V$5:$V$104,A17,'New P110'!$AL$5:$AL$104)+SUMIF('New P110'!$Y$5:$Y$104,A17,'New P110'!$AA$5:$AA$104)+SUMIF('New P110'!$AC$5:$AC$104,A17,'New P110'!$AE$5:$AE$104),0)</f>
        <v>5.12</v>
      </c>
      <c r="E17" s="32">
        <f t="shared" si="0"/>
        <v>0</v>
      </c>
      <c r="F17" s="33" t="str">
        <f>IF(B17="","Not filled",IF(E17&lt;=0,"Empty",IF(E17&lt;Settings!$B$3,"Low","OK")))</f>
        <v>Empty</v>
      </c>
      <c r="G17" s="15"/>
      <c r="H17" s="34" t="str">
        <f t="shared" si="1"/>
        <v>M2F-20260917</v>
      </c>
    </row>
    <row r="18" spans="1:8" ht="19.5" customHeight="1" x14ac:dyDescent="0.3">
      <c r="A18" s="35" t="s">
        <v>75</v>
      </c>
      <c r="B18" s="7">
        <v>4.9000000000000004</v>
      </c>
      <c r="C18" s="50">
        <v>46282</v>
      </c>
      <c r="D18" s="31">
        <f>IFERROR(SUMIF('Old P110'!$U$5:$U$104,A18,'Old P110'!$AK$5:$AK$104)+SUMIF('Old P110'!$V$5:$V$104,A18,'Old P110'!$AL$5:$AL$104)+SUMIF('Old P110'!$Y$5:$Y$104,A18,'Old P110'!$AA$5:$AA$104)+SUMIF('Old P110'!$AC$5:$AC$104,A18,'Old P110'!$AE$5:$AE$104)+SUMIF('New P110'!$U$5:$U$104,A18,'New P110'!$AK$5:$AK$104)+SUMIF('New P110'!$V$5:$V$104,A18,'New P110'!$AL$5:$AL$104)+SUMIF('New P110'!$Y$5:$Y$104,A18,'New P110'!$AA$5:$AA$104)+SUMIF('New P110'!$AC$5:$AC$104,A18,'New P110'!$AE$5:$AE$104),0)</f>
        <v>4.9000000000000004</v>
      </c>
      <c r="E18" s="32">
        <f t="shared" si="0"/>
        <v>0</v>
      </c>
      <c r="F18" s="33" t="str">
        <f>IF(B18="","Not filled",IF(E18&lt;=0,"Empty",IF(E18&lt;Settings!$B$3,"Low","OK")))</f>
        <v>Empty</v>
      </c>
      <c r="G18" s="15"/>
      <c r="H18" s="34" t="str">
        <f t="shared" si="1"/>
        <v>M2G-20260917</v>
      </c>
    </row>
    <row r="19" spans="1:8" ht="19.5" customHeight="1" x14ac:dyDescent="0.3">
      <c r="A19" s="35" t="s">
        <v>76</v>
      </c>
      <c r="B19" s="7">
        <v>4.95</v>
      </c>
      <c r="C19" s="50">
        <v>46282</v>
      </c>
      <c r="D19" s="31">
        <f>IFERROR(SUMIF('Old P110'!$U$5:$U$104,A19,'Old P110'!$AK$5:$AK$104)+SUMIF('Old P110'!$V$5:$V$104,A19,'Old P110'!$AL$5:$AL$104)+SUMIF('Old P110'!$Y$5:$Y$104,A19,'Old P110'!$AA$5:$AA$104)+SUMIF('Old P110'!$AC$5:$AC$104,A19,'Old P110'!$AE$5:$AE$104)+SUMIF('New P110'!$U$5:$U$104,A19,'New P110'!$AK$5:$AK$104)+SUMIF('New P110'!$V$5:$V$104,A19,'New P110'!$AL$5:$AL$104)+SUMIF('New P110'!$Y$5:$Y$104,A19,'New P110'!$AA$5:$AA$104)+SUMIF('New P110'!$AC$5:$AC$104,A19,'New P110'!$AE$5:$AE$104),0)</f>
        <v>4.95</v>
      </c>
      <c r="E19" s="32">
        <f t="shared" si="0"/>
        <v>0</v>
      </c>
      <c r="F19" s="33" t="str">
        <f>IF(B19="","Not filled",IF(E19&lt;=0,"Empty",IF(E19&lt;Settings!$B$3,"Low","OK")))</f>
        <v>Empty</v>
      </c>
      <c r="G19" s="15"/>
      <c r="H19" s="34" t="str">
        <f t="shared" si="1"/>
        <v>M2H-20260917</v>
      </c>
    </row>
    <row r="20" spans="1:8" ht="19.5" customHeight="1" x14ac:dyDescent="0.3">
      <c r="A20" s="30" t="s">
        <v>77</v>
      </c>
      <c r="B20" s="7">
        <v>5</v>
      </c>
      <c r="C20" s="50">
        <v>46297</v>
      </c>
      <c r="D20" s="31">
        <f>IFERROR(SUMIF('Old P110'!$U$5:$U$104,A20,'Old P110'!$AK$5:$AK$104)+SUMIF('Old P110'!$V$5:$V$104,A20,'Old P110'!$AL$5:$AL$104)+SUMIF('Old P110'!$Y$5:$Y$104,A20,'Old P110'!$AA$5:$AA$104)+SUMIF('Old P110'!$AC$5:$AC$104,A20,'Old P110'!$AE$5:$AE$104)+SUMIF('New P110'!$U$5:$U$104,A20,'New P110'!$AK$5:$AK$104)+SUMIF('New P110'!$V$5:$V$104,A20,'New P110'!$AL$5:$AL$104)+SUMIF('New P110'!$Y$5:$Y$104,A20,'New P110'!$AA$5:$AA$104)+SUMIF('New P110'!$AC$5:$AC$104,A20,'New P110'!$AE$5:$AE$104),0)</f>
        <v>5</v>
      </c>
      <c r="E20" s="32">
        <f t="shared" si="0"/>
        <v>0</v>
      </c>
      <c r="F20" s="33" t="str">
        <f>IF(B20="","Not filled",IF(E20&lt;=0,"Empty",IF(E20&lt;Settings!$B$3,"Low","OK")))</f>
        <v>Empty</v>
      </c>
      <c r="G20" s="15"/>
      <c r="H20" s="34" t="str">
        <f t="shared" si="1"/>
        <v>M3A-20261002</v>
      </c>
    </row>
    <row r="21" spans="1:8" ht="19.5" customHeight="1" x14ac:dyDescent="0.3">
      <c r="A21" s="30" t="s">
        <v>78</v>
      </c>
      <c r="B21" s="7">
        <v>5.23</v>
      </c>
      <c r="C21" s="50">
        <v>46297</v>
      </c>
      <c r="D21" s="31">
        <f>IFERROR(SUMIF('Old P110'!$U$5:$U$104,A21,'Old P110'!$AK$5:$AK$104)+SUMIF('Old P110'!$V$5:$V$104,A21,'Old P110'!$AL$5:$AL$104)+SUMIF('Old P110'!$Y$5:$Y$104,A21,'Old P110'!$AA$5:$AA$104)+SUMIF('Old P110'!$AC$5:$AC$104,A21,'Old P110'!$AE$5:$AE$104)+SUMIF('New P110'!$U$5:$U$104,A21,'New P110'!$AK$5:$AK$104)+SUMIF('New P110'!$V$5:$V$104,A21,'New P110'!$AL$5:$AL$104)+SUMIF('New P110'!$Y$5:$Y$104,A21,'New P110'!$AA$5:$AA$104)+SUMIF('New P110'!$AC$5:$AC$104,A21,'New P110'!$AE$5:$AE$104),0)</f>
        <v>5.23</v>
      </c>
      <c r="E21" s="32">
        <f t="shared" si="0"/>
        <v>0</v>
      </c>
      <c r="F21" s="33" t="str">
        <f>IF(B21="","Not filled",IF(E21&lt;=0,"Empty",IF(E21&lt;Settings!$B$3,"Low","OK")))</f>
        <v>Empty</v>
      </c>
      <c r="G21" s="15"/>
      <c r="H21" s="34" t="str">
        <f t="shared" si="1"/>
        <v>M3B-20261002</v>
      </c>
    </row>
    <row r="22" spans="1:8" ht="19.5" customHeight="1" x14ac:dyDescent="0.3">
      <c r="A22" s="30" t="s">
        <v>79</v>
      </c>
      <c r="B22" s="7">
        <v>5.08</v>
      </c>
      <c r="C22" s="50">
        <v>46297</v>
      </c>
      <c r="D22" s="31">
        <f>IFERROR(SUMIF('Old P110'!$U$5:$U$104,A22,'Old P110'!$AK$5:$AK$104)+SUMIF('Old P110'!$V$5:$V$104,A22,'Old P110'!$AL$5:$AL$104)+SUMIF('Old P110'!$Y$5:$Y$104,A22,'Old P110'!$AA$5:$AA$104)+SUMIF('Old P110'!$AC$5:$AC$104,A22,'Old P110'!$AE$5:$AE$104)+SUMIF('New P110'!$U$5:$U$104,A22,'New P110'!$AK$5:$AK$104)+SUMIF('New P110'!$V$5:$V$104,A22,'New P110'!$AL$5:$AL$104)+SUMIF('New P110'!$Y$5:$Y$104,A22,'New P110'!$AA$5:$AA$104)+SUMIF('New P110'!$AC$5:$AC$104,A22,'New P110'!$AE$5:$AE$104),0)</f>
        <v>5.08</v>
      </c>
      <c r="E22" s="32">
        <f t="shared" si="0"/>
        <v>0</v>
      </c>
      <c r="F22" s="33" t="str">
        <f>IF(B22="","Not filled",IF(E22&lt;=0,"Empty",IF(E22&lt;Settings!$B$3,"Low","OK")))</f>
        <v>Empty</v>
      </c>
      <c r="G22" s="15"/>
      <c r="H22" s="34" t="str">
        <f t="shared" si="1"/>
        <v>M3C-20261002</v>
      </c>
    </row>
    <row r="23" spans="1:8" ht="19.5" customHeight="1" x14ac:dyDescent="0.3">
      <c r="A23" s="30" t="s">
        <v>80</v>
      </c>
      <c r="B23" s="7">
        <v>4.99</v>
      </c>
      <c r="C23" s="50">
        <v>46297</v>
      </c>
      <c r="D23" s="31">
        <f>IFERROR(SUMIF('Old P110'!$U$5:$U$104,A23,'Old P110'!$AK$5:$AK$104)+SUMIF('Old P110'!$V$5:$V$104,A23,'Old P110'!$AL$5:$AL$104)+SUMIF('Old P110'!$Y$5:$Y$104,A23,'Old P110'!$AA$5:$AA$104)+SUMIF('Old P110'!$AC$5:$AC$104,A23,'Old P110'!$AE$5:$AE$104)+SUMIF('New P110'!$U$5:$U$104,A23,'New P110'!$AK$5:$AK$104)+SUMIF('New P110'!$V$5:$V$104,A23,'New P110'!$AL$5:$AL$104)+SUMIF('New P110'!$Y$5:$Y$104,A23,'New P110'!$AA$5:$AA$104)+SUMIF('New P110'!$AC$5:$AC$104,A23,'New P110'!$AE$5:$AE$104),0)</f>
        <v>4.99</v>
      </c>
      <c r="E23" s="32">
        <f t="shared" si="0"/>
        <v>0</v>
      </c>
      <c r="F23" s="33" t="str">
        <f>IF(B23="","Not filled",IF(E23&lt;=0,"Empty",IF(E23&lt;Settings!$B$3,"Low","OK")))</f>
        <v>Empty</v>
      </c>
      <c r="G23" s="15"/>
      <c r="H23" s="34" t="str">
        <f t="shared" si="1"/>
        <v>M3D-20261002</v>
      </c>
    </row>
    <row r="24" spans="1:8" ht="19.5" customHeight="1" x14ac:dyDescent="0.3">
      <c r="A24" s="30" t="s">
        <v>81</v>
      </c>
      <c r="B24" s="7">
        <v>5.15</v>
      </c>
      <c r="C24" s="50">
        <v>46297</v>
      </c>
      <c r="D24" s="31">
        <f>IFERROR(SUMIF('Old P110'!$U$5:$U$104,A24,'Old P110'!$AK$5:$AK$104)+SUMIF('Old P110'!$V$5:$V$104,A24,'Old P110'!$AL$5:$AL$104)+SUMIF('Old P110'!$Y$5:$Y$104,A24,'Old P110'!$AA$5:$AA$104)+SUMIF('Old P110'!$AC$5:$AC$104,A24,'Old P110'!$AE$5:$AE$104)+SUMIF('New P110'!$U$5:$U$104,A24,'New P110'!$AK$5:$AK$104)+SUMIF('New P110'!$V$5:$V$104,A24,'New P110'!$AL$5:$AL$104)+SUMIF('New P110'!$Y$5:$Y$104,A24,'New P110'!$AA$5:$AA$104)+SUMIF('New P110'!$AC$5:$AC$104,A24,'New P110'!$AE$5:$AE$104),0)</f>
        <v>5.15</v>
      </c>
      <c r="E24" s="32">
        <f t="shared" si="0"/>
        <v>0</v>
      </c>
      <c r="F24" s="33" t="str">
        <f>IF(B24="","Not filled",IF(E24&lt;=0,"Empty",IF(E24&lt;Settings!$B$3,"Low","OK")))</f>
        <v>Empty</v>
      </c>
      <c r="G24" s="15"/>
      <c r="H24" s="34" t="str">
        <f t="shared" si="1"/>
        <v>M3E-20261002</v>
      </c>
    </row>
    <row r="25" spans="1:8" ht="19.5" customHeight="1" x14ac:dyDescent="0.3">
      <c r="A25" s="30" t="s">
        <v>82</v>
      </c>
      <c r="B25" s="7">
        <v>4.95</v>
      </c>
      <c r="C25" s="50">
        <v>46297</v>
      </c>
      <c r="D25" s="31">
        <f>IFERROR(SUMIF('Old P110'!$U$5:$U$104,A25,'Old P110'!$AK$5:$AK$104)+SUMIF('Old P110'!$V$5:$V$104,A25,'Old P110'!$AL$5:$AL$104)+SUMIF('Old P110'!$Y$5:$Y$104,A25,'Old P110'!$AA$5:$AA$104)+SUMIF('Old P110'!$AC$5:$AC$104,A25,'Old P110'!$AE$5:$AE$104)+SUMIF('New P110'!$U$5:$U$104,A25,'New P110'!$AK$5:$AK$104)+SUMIF('New P110'!$V$5:$V$104,A25,'New P110'!$AL$5:$AL$104)+SUMIF('New P110'!$Y$5:$Y$104,A25,'New P110'!$AA$5:$AA$104)+SUMIF('New P110'!$AC$5:$AC$104,A25,'New P110'!$AE$5:$AE$104),0)</f>
        <v>4.95</v>
      </c>
      <c r="E25" s="32">
        <f t="shared" si="0"/>
        <v>0</v>
      </c>
      <c r="F25" s="33" t="str">
        <f>IF(B25="","Not filled",IF(E25&lt;=0,"Empty",IF(E25&lt;Settings!$B$3,"Low","OK")))</f>
        <v>Empty</v>
      </c>
      <c r="G25" s="15"/>
      <c r="H25" s="34" t="str">
        <f t="shared" si="1"/>
        <v>M3F-20261002</v>
      </c>
    </row>
    <row r="26" spans="1:8" ht="19.5" customHeight="1" x14ac:dyDescent="0.3">
      <c r="A26" s="30" t="s">
        <v>83</v>
      </c>
      <c r="B26" s="7">
        <v>5.07</v>
      </c>
      <c r="C26" s="50">
        <v>46297</v>
      </c>
      <c r="D26" s="31">
        <f>IFERROR(SUMIF('Old P110'!$U$5:$U$104,A26,'Old P110'!$AK$5:$AK$104)+SUMIF('Old P110'!$V$5:$V$104,A26,'Old P110'!$AL$5:$AL$104)+SUMIF('Old P110'!$Y$5:$Y$104,A26,'Old P110'!$AA$5:$AA$104)+SUMIF('Old P110'!$AC$5:$AC$104,A26,'Old P110'!$AE$5:$AE$104)+SUMIF('New P110'!$U$5:$U$104,A26,'New P110'!$AK$5:$AK$104)+SUMIF('New P110'!$V$5:$V$104,A26,'New P110'!$AL$5:$AL$104)+SUMIF('New P110'!$Y$5:$Y$104,A26,'New P110'!$AA$5:$AA$104)+SUMIF('New P110'!$AC$5:$AC$104,A26,'New P110'!$AE$5:$AE$104),0)</f>
        <v>5.07</v>
      </c>
      <c r="E26" s="32">
        <f t="shared" si="0"/>
        <v>0</v>
      </c>
      <c r="F26" s="33" t="str">
        <f>IF(B26="","Not filled",IF(E26&lt;=0,"Empty",IF(E26&lt;Settings!$B$3,"Low","OK")))</f>
        <v>Empty</v>
      </c>
      <c r="G26" s="15"/>
      <c r="H26" s="34" t="str">
        <f t="shared" si="1"/>
        <v>M3G-20261002</v>
      </c>
    </row>
    <row r="27" spans="1:8" ht="19.5" customHeight="1" x14ac:dyDescent="0.3">
      <c r="A27" s="30" t="s">
        <v>84</v>
      </c>
      <c r="B27" s="7">
        <v>5.15</v>
      </c>
      <c r="C27" s="50">
        <v>46297</v>
      </c>
      <c r="D27" s="31">
        <f>IFERROR(SUMIF('Old P110'!$U$5:$U$104,A27,'Old P110'!$AK$5:$AK$104)+SUMIF('Old P110'!$V$5:$V$104,A27,'Old P110'!$AL$5:$AL$104)+SUMIF('Old P110'!$Y$5:$Y$104,A27,'Old P110'!$AA$5:$AA$104)+SUMIF('Old P110'!$AC$5:$AC$104,A27,'Old P110'!$AE$5:$AE$104)+SUMIF('New P110'!$U$5:$U$104,A27,'New P110'!$AK$5:$AK$104)+SUMIF('New P110'!$V$5:$V$104,A27,'New P110'!$AL$5:$AL$104)+SUMIF('New P110'!$Y$5:$Y$104,A27,'New P110'!$AA$5:$AA$104)+SUMIF('New P110'!$AC$5:$AC$104,A27,'New P110'!$AE$5:$AE$104),0)</f>
        <v>5.15</v>
      </c>
      <c r="E27" s="32">
        <f t="shared" si="0"/>
        <v>0</v>
      </c>
      <c r="F27" s="33" t="str">
        <f>IF(B27="","Not filled",IF(E27&lt;=0,"Empty",IF(E27&lt;Settings!$B$3,"Low","OK")))</f>
        <v>Empty</v>
      </c>
      <c r="G27" s="15"/>
      <c r="H27" s="34" t="str">
        <f t="shared" si="1"/>
        <v>M3H-20261002</v>
      </c>
    </row>
    <row r="28" spans="1:8" ht="19.5" customHeight="1" x14ac:dyDescent="0.3">
      <c r="A28" s="35" t="s">
        <v>85</v>
      </c>
      <c r="B28" s="7">
        <v>5.0999999999999996</v>
      </c>
      <c r="C28" s="50">
        <v>46304</v>
      </c>
      <c r="D28" s="31">
        <f>IFERROR(SUMIF('Old P110'!$U$5:$U$104,A28,'Old P110'!$AK$5:$AK$104)+SUMIF('Old P110'!$V$5:$V$104,A28,'Old P110'!$AL$5:$AL$104)+SUMIF('Old P110'!$Y$5:$Y$104,A28,'Old P110'!$AA$5:$AA$104)+SUMIF('Old P110'!$AC$5:$AC$104,A28,'Old P110'!$AE$5:$AE$104)+SUMIF('New P110'!$U$5:$U$104,A28,'New P110'!$AK$5:$AK$104)+SUMIF('New P110'!$V$5:$V$104,A28,'New P110'!$AL$5:$AL$104)+SUMIF('New P110'!$Y$5:$Y$104,A28,'New P110'!$AA$5:$AA$104)+SUMIF('New P110'!$AC$5:$AC$104,A28,'New P110'!$AE$5:$AE$104),0)</f>
        <v>5.0999999999999996</v>
      </c>
      <c r="E28" s="32">
        <f t="shared" si="0"/>
        <v>0</v>
      </c>
      <c r="F28" s="33" t="str">
        <f>IF(B28="","Not filled",IF(E28&lt;=0,"Empty",IF(E28&lt;Settings!$B$3,"Low","OK")))</f>
        <v>Empty</v>
      </c>
      <c r="G28" s="15"/>
      <c r="H28" s="34" t="str">
        <f t="shared" si="1"/>
        <v>M4A-20261009</v>
      </c>
    </row>
    <row r="29" spans="1:8" ht="19.5" customHeight="1" x14ac:dyDescent="0.3">
      <c r="A29" s="35" t="s">
        <v>86</v>
      </c>
      <c r="B29" s="7">
        <v>5.0999999999999996</v>
      </c>
      <c r="C29" s="50">
        <v>46304</v>
      </c>
      <c r="D29" s="31">
        <f>IFERROR(SUMIF('Old P110'!$U$5:$U$104,A29,'Old P110'!$AK$5:$AK$104)+SUMIF('Old P110'!$V$5:$V$104,A29,'Old P110'!$AL$5:$AL$104)+SUMIF('Old P110'!$Y$5:$Y$104,A29,'Old P110'!$AA$5:$AA$104)+SUMIF('Old P110'!$AC$5:$AC$104,A29,'Old P110'!$AE$5:$AE$104)+SUMIF('New P110'!$U$5:$U$104,A29,'New P110'!$AK$5:$AK$104)+SUMIF('New P110'!$V$5:$V$104,A29,'New P110'!$AL$5:$AL$104)+SUMIF('New P110'!$Y$5:$Y$104,A29,'New P110'!$AA$5:$AA$104)+SUMIF('New P110'!$AC$5:$AC$104,A29,'New P110'!$AE$5:$AE$104),0)</f>
        <v>1.4200000000000013</v>
      </c>
      <c r="E29" s="32">
        <f t="shared" si="0"/>
        <v>3.6799999999999984</v>
      </c>
      <c r="F29" s="33" t="str">
        <f>IF(B29="","Not filled",IF(E29&lt;=0,"Empty",IF(E29&lt;Settings!$B$3,"Low","OK")))</f>
        <v>OK</v>
      </c>
      <c r="G29" s="15"/>
      <c r="H29" s="34" t="str">
        <f t="shared" si="1"/>
        <v>M4B-20261009</v>
      </c>
    </row>
    <row r="30" spans="1:8" ht="19.5" customHeight="1" x14ac:dyDescent="0.3">
      <c r="A30" s="35" t="s">
        <v>87</v>
      </c>
      <c r="B30" s="7">
        <v>4.9800000000000004</v>
      </c>
      <c r="C30" s="50">
        <v>46304</v>
      </c>
      <c r="D30" s="31">
        <f>IFERROR(SUMIF('Old P110'!$U$5:$U$104,A30,'Old P110'!$AK$5:$AK$104)+SUMIF('Old P110'!$V$5:$V$104,A30,'Old P110'!$AL$5:$AL$104)+SUMIF('Old P110'!$Y$5:$Y$104,A30,'Old P110'!$AA$5:$AA$104)+SUMIF('Old P110'!$AC$5:$AC$104,A30,'Old P110'!$AE$5:$AE$104)+SUMIF('New P110'!$U$5:$U$104,A30,'New P110'!$AK$5:$AK$104)+SUMIF('New P110'!$V$5:$V$104,A30,'New P110'!$AL$5:$AL$104)+SUMIF('New P110'!$Y$5:$Y$104,A30,'New P110'!$AA$5:$AA$104)+SUMIF('New P110'!$AC$5:$AC$104,A30,'New P110'!$AE$5:$AE$104),0)</f>
        <v>0</v>
      </c>
      <c r="E30" s="32">
        <f t="shared" si="0"/>
        <v>4.9800000000000004</v>
      </c>
      <c r="F30" s="33" t="str">
        <f>IF(B30="","Not filled",IF(E30&lt;=0,"Empty",IF(E30&lt;Settings!$B$3,"Low","OK")))</f>
        <v>OK</v>
      </c>
      <c r="G30" s="15"/>
      <c r="H30" s="34" t="str">
        <f t="shared" si="1"/>
        <v>M4C-20261009</v>
      </c>
    </row>
    <row r="31" spans="1:8" ht="19.5" customHeight="1" x14ac:dyDescent="0.3">
      <c r="A31" s="35" t="s">
        <v>88</v>
      </c>
      <c r="B31" s="7">
        <v>5.03</v>
      </c>
      <c r="C31" s="50">
        <v>46304</v>
      </c>
      <c r="D31" s="31">
        <f>IFERROR(SUMIF('Old P110'!$U$5:$U$104,A31,'Old P110'!$AK$5:$AK$104)+SUMIF('Old P110'!$V$5:$V$104,A31,'Old P110'!$AL$5:$AL$104)+SUMIF('Old P110'!$Y$5:$Y$104,A31,'Old P110'!$AA$5:$AA$104)+SUMIF('Old P110'!$AC$5:$AC$104,A31,'Old P110'!$AE$5:$AE$104)+SUMIF('New P110'!$U$5:$U$104,A31,'New P110'!$AK$5:$AK$104)+SUMIF('New P110'!$V$5:$V$104,A31,'New P110'!$AL$5:$AL$104)+SUMIF('New P110'!$Y$5:$Y$104,A31,'New P110'!$AA$5:$AA$104)+SUMIF('New P110'!$AC$5:$AC$104,A31,'New P110'!$AE$5:$AE$104),0)</f>
        <v>0</v>
      </c>
      <c r="E31" s="32">
        <f t="shared" si="0"/>
        <v>5.03</v>
      </c>
      <c r="F31" s="33" t="str">
        <f>IF(B31="","Not filled",IF(E31&lt;=0,"Empty",IF(E31&lt;Settings!$B$3,"Low","OK")))</f>
        <v>OK</v>
      </c>
      <c r="G31" s="15"/>
      <c r="H31" s="34" t="str">
        <f t="shared" si="1"/>
        <v>M4D-20261009</v>
      </c>
    </row>
    <row r="32" spans="1:8" ht="19.5" customHeight="1" x14ac:dyDescent="0.3">
      <c r="A32" s="35" t="s">
        <v>89</v>
      </c>
      <c r="B32" s="7">
        <v>5.01</v>
      </c>
      <c r="C32" s="50">
        <v>46304</v>
      </c>
      <c r="D32" s="31">
        <f>IFERROR(SUMIF('Old P110'!$U$5:$U$104,A32,'Old P110'!$AK$5:$AK$104)+SUMIF('Old P110'!$V$5:$V$104,A32,'Old P110'!$AL$5:$AL$104)+SUMIF('Old P110'!$Y$5:$Y$104,A32,'Old P110'!$AA$5:$AA$104)+SUMIF('Old P110'!$AC$5:$AC$104,A32,'Old P110'!$AE$5:$AE$104)+SUMIF('New P110'!$U$5:$U$104,A32,'New P110'!$AK$5:$AK$104)+SUMIF('New P110'!$V$5:$V$104,A32,'New P110'!$AL$5:$AL$104)+SUMIF('New P110'!$Y$5:$Y$104,A32,'New P110'!$AA$5:$AA$104)+SUMIF('New P110'!$AC$5:$AC$104,A32,'New P110'!$AE$5:$AE$104),0)</f>
        <v>5.01</v>
      </c>
      <c r="E32" s="32">
        <f t="shared" si="0"/>
        <v>0</v>
      </c>
      <c r="F32" s="33" t="str">
        <f>IF(B32="","Not filled",IF(E32&lt;=0,"Empty",IF(E32&lt;Settings!$B$3,"Low","OK")))</f>
        <v>Empty</v>
      </c>
      <c r="G32" s="15"/>
      <c r="H32" s="34" t="str">
        <f t="shared" si="1"/>
        <v>M4E-20261009</v>
      </c>
    </row>
    <row r="33" spans="1:8" ht="19.5" customHeight="1" x14ac:dyDescent="0.3">
      <c r="A33" s="35" t="s">
        <v>90</v>
      </c>
      <c r="B33" s="7">
        <v>5.16</v>
      </c>
      <c r="C33" s="50">
        <v>46304</v>
      </c>
      <c r="D33" s="31">
        <f>IFERROR(SUMIF('Old P110'!$U$5:$U$104,A33,'Old P110'!$AK$5:$AK$104)+SUMIF('Old P110'!$V$5:$V$104,A33,'Old P110'!$AL$5:$AL$104)+SUMIF('Old P110'!$Y$5:$Y$104,A33,'Old P110'!$AA$5:$AA$104)+SUMIF('Old P110'!$AC$5:$AC$104,A33,'Old P110'!$AE$5:$AE$104)+SUMIF('New P110'!$U$5:$U$104,A33,'New P110'!$AK$5:$AK$104)+SUMIF('New P110'!$V$5:$V$104,A33,'New P110'!$AL$5:$AL$104)+SUMIF('New P110'!$Y$5:$Y$104,A33,'New P110'!$AA$5:$AA$104)+SUMIF('New P110'!$AC$5:$AC$104,A33,'New P110'!$AE$5:$AE$104),0)</f>
        <v>1.0099999999999998</v>
      </c>
      <c r="E33" s="32">
        <f t="shared" si="0"/>
        <v>4.1500000000000004</v>
      </c>
      <c r="F33" s="33" t="str">
        <f>IF(B33="","Not filled",IF(E33&lt;=0,"Empty",IF(E33&lt;Settings!$B$3,"Low","OK")))</f>
        <v>OK</v>
      </c>
      <c r="G33" s="15"/>
      <c r="H33" s="34" t="str">
        <f t="shared" si="1"/>
        <v>M4F-20261009</v>
      </c>
    </row>
    <row r="34" spans="1:8" ht="19.5" customHeight="1" x14ac:dyDescent="0.3">
      <c r="A34" s="35" t="s">
        <v>91</v>
      </c>
      <c r="B34" s="7">
        <v>5.07</v>
      </c>
      <c r="C34" s="50">
        <v>46304</v>
      </c>
      <c r="D34" s="31">
        <f>IFERROR(SUMIF('Old P110'!$U$5:$U$104,A34,'Old P110'!$AK$5:$AK$104)+SUMIF('Old P110'!$V$5:$V$104,A34,'Old P110'!$AL$5:$AL$104)+SUMIF('Old P110'!$Y$5:$Y$104,A34,'Old P110'!$AA$5:$AA$104)+SUMIF('Old P110'!$AC$5:$AC$104,A34,'Old P110'!$AE$5:$AE$104)+SUMIF('New P110'!$U$5:$U$104,A34,'New P110'!$AK$5:$AK$104)+SUMIF('New P110'!$V$5:$V$104,A34,'New P110'!$AL$5:$AL$104)+SUMIF('New P110'!$Y$5:$Y$104,A34,'New P110'!$AA$5:$AA$104)+SUMIF('New P110'!$AC$5:$AC$104,A34,'New P110'!$AE$5:$AE$104),0)</f>
        <v>0</v>
      </c>
      <c r="E34" s="32">
        <f t="shared" si="0"/>
        <v>5.07</v>
      </c>
      <c r="F34" s="33" t="str">
        <f>IF(B34="","Not filled",IF(E34&lt;=0,"Empty",IF(E34&lt;Settings!$B$3,"Low","OK")))</f>
        <v>OK</v>
      </c>
      <c r="G34" s="15"/>
      <c r="H34" s="34" t="str">
        <f t="shared" si="1"/>
        <v>M4G-20261009</v>
      </c>
    </row>
    <row r="35" spans="1:8" ht="19.5" customHeight="1" x14ac:dyDescent="0.3">
      <c r="A35" s="35" t="s">
        <v>92</v>
      </c>
      <c r="B35" s="7">
        <v>5.0650000000000004</v>
      </c>
      <c r="C35" s="50">
        <v>46304</v>
      </c>
      <c r="D35" s="31">
        <f>IFERROR(SUMIF('Old P110'!$U$5:$U$104,A35,'Old P110'!$AK$5:$AK$104)+SUMIF('Old P110'!$V$5:$V$104,A35,'Old P110'!$AL$5:$AL$104)+SUMIF('Old P110'!$Y$5:$Y$104,A35,'Old P110'!$AA$5:$AA$104)+SUMIF('Old P110'!$AC$5:$AC$104,A35,'Old P110'!$AE$5:$AE$104)+SUMIF('New P110'!$U$5:$U$104,A35,'New P110'!$AK$5:$AK$104)+SUMIF('New P110'!$V$5:$V$104,A35,'New P110'!$AL$5:$AL$104)+SUMIF('New P110'!$Y$5:$Y$104,A35,'New P110'!$AA$5:$AA$104)+SUMIF('New P110'!$AC$5:$AC$104,A35,'New P110'!$AE$5:$AE$104),0)</f>
        <v>0</v>
      </c>
      <c r="E35" s="32">
        <f t="shared" si="0"/>
        <v>5.0650000000000004</v>
      </c>
      <c r="F35" s="33" t="str">
        <f>IF(B35="","Not filled",IF(E35&lt;=0,"Empty",IF(E35&lt;Settings!$B$3,"Low","OK")))</f>
        <v>OK</v>
      </c>
      <c r="G35" s="15"/>
      <c r="H35" s="34" t="str">
        <f t="shared" si="1"/>
        <v>M4H-20261009</v>
      </c>
    </row>
    <row r="36" spans="1:8" ht="19.5" customHeight="1" x14ac:dyDescent="0.3">
      <c r="A36" s="30" t="s">
        <v>93</v>
      </c>
      <c r="B36" s="7"/>
      <c r="C36" s="50"/>
      <c r="D36" s="31">
        <f>IFERROR(SUMIF('Old P110'!$U$5:$U$104,A36,'Old P110'!$AK$5:$AK$104)+SUMIF('Old P110'!$V$5:$V$104,A36,'Old P110'!$AL$5:$AL$104)+SUMIF('Old P110'!$Y$5:$Y$104,A36,'Old P110'!$AA$5:$AA$104)+SUMIF('Old P110'!$AC$5:$AC$104,A36,'Old P110'!$AE$5:$AE$104)+SUMIF('New P110'!$U$5:$U$104,A36,'New P110'!$AK$5:$AK$104)+SUMIF('New P110'!$V$5:$V$104,A36,'New P110'!$AL$5:$AL$104)+SUMIF('New P110'!$Y$5:$Y$104,A36,'New P110'!$AA$5:$AA$104)+SUMIF('New P110'!$AC$5:$AC$104,A36,'New P110'!$AE$5:$AE$104),0)</f>
        <v>0</v>
      </c>
      <c r="E36" s="32" t="str">
        <f t="shared" ref="E36:E67" si="2">IFERROR(IF(B36="","Not filled",B36-D36),"Not filled")</f>
        <v>Not filled</v>
      </c>
      <c r="F36" s="33" t="str">
        <f>IF(B36="","Not filled",IF(E36&lt;=0,"Empty",IF(E36&lt;Settings!$B$3,"Low","OK")))</f>
        <v>Not filled</v>
      </c>
      <c r="G36" s="15"/>
      <c r="H36" s="34" t="str">
        <f t="shared" ref="H36:H67" si="3">IF(C36="","",A36&amp;TEXT(C36,"yyyymmdd"))</f>
        <v/>
      </c>
    </row>
    <row r="37" spans="1:8" ht="19.5" customHeight="1" x14ac:dyDescent="0.3">
      <c r="A37" s="30" t="s">
        <v>94</v>
      </c>
      <c r="B37" s="7"/>
      <c r="C37" s="50"/>
      <c r="D37" s="31">
        <f>IFERROR(SUMIF('Old P110'!$U$5:$U$104,A37,'Old P110'!$AK$5:$AK$104)+SUMIF('Old P110'!$V$5:$V$104,A37,'Old P110'!$AL$5:$AL$104)+SUMIF('Old P110'!$Y$5:$Y$104,A37,'Old P110'!$AA$5:$AA$104)+SUMIF('Old P110'!$AC$5:$AC$104,A37,'Old P110'!$AE$5:$AE$104)+SUMIF('New P110'!$U$5:$U$104,A37,'New P110'!$AK$5:$AK$104)+SUMIF('New P110'!$V$5:$V$104,A37,'New P110'!$AL$5:$AL$104)+SUMIF('New P110'!$Y$5:$Y$104,A37,'New P110'!$AA$5:$AA$104)+SUMIF('New P110'!$AC$5:$AC$104,A37,'New P110'!$AE$5:$AE$104),0)</f>
        <v>0</v>
      </c>
      <c r="E37" s="32" t="str">
        <f t="shared" si="2"/>
        <v>Not filled</v>
      </c>
      <c r="F37" s="33" t="str">
        <f>IF(B37="","Not filled",IF(E37&lt;=0,"Empty",IF(E37&lt;Settings!$B$3,"Low","OK")))</f>
        <v>Not filled</v>
      </c>
      <c r="G37" s="15"/>
      <c r="H37" s="34" t="str">
        <f t="shared" si="3"/>
        <v/>
      </c>
    </row>
    <row r="38" spans="1:8" ht="19.5" customHeight="1" x14ac:dyDescent="0.3">
      <c r="A38" s="30" t="s">
        <v>95</v>
      </c>
      <c r="B38" s="7"/>
      <c r="C38" s="50"/>
      <c r="D38" s="31">
        <f>IFERROR(SUMIF('Old P110'!$U$5:$U$104,A38,'Old P110'!$AK$5:$AK$104)+SUMIF('Old P110'!$V$5:$V$104,A38,'Old P110'!$AL$5:$AL$104)+SUMIF('Old P110'!$Y$5:$Y$104,A38,'Old P110'!$AA$5:$AA$104)+SUMIF('Old P110'!$AC$5:$AC$104,A38,'Old P110'!$AE$5:$AE$104)+SUMIF('New P110'!$U$5:$U$104,A38,'New P110'!$AK$5:$AK$104)+SUMIF('New P110'!$V$5:$V$104,A38,'New P110'!$AL$5:$AL$104)+SUMIF('New P110'!$Y$5:$Y$104,A38,'New P110'!$AA$5:$AA$104)+SUMIF('New P110'!$AC$5:$AC$104,A38,'New P110'!$AE$5:$AE$104),0)</f>
        <v>0</v>
      </c>
      <c r="E38" s="32" t="str">
        <f t="shared" si="2"/>
        <v>Not filled</v>
      </c>
      <c r="F38" s="33" t="str">
        <f>IF(B38="","Not filled",IF(E38&lt;=0,"Empty",IF(E38&lt;Settings!$B$3,"Low","OK")))</f>
        <v>Not filled</v>
      </c>
      <c r="G38" s="15"/>
      <c r="H38" s="34" t="str">
        <f t="shared" si="3"/>
        <v/>
      </c>
    </row>
    <row r="39" spans="1:8" ht="19.5" customHeight="1" x14ac:dyDescent="0.3">
      <c r="A39" s="30" t="s">
        <v>96</v>
      </c>
      <c r="B39" s="7"/>
      <c r="C39" s="50"/>
      <c r="D39" s="31">
        <f>IFERROR(SUMIF('Old P110'!$U$5:$U$104,A39,'Old P110'!$AK$5:$AK$104)+SUMIF('Old P110'!$V$5:$V$104,A39,'Old P110'!$AL$5:$AL$104)+SUMIF('Old P110'!$Y$5:$Y$104,A39,'Old P110'!$AA$5:$AA$104)+SUMIF('Old P110'!$AC$5:$AC$104,A39,'Old P110'!$AE$5:$AE$104)+SUMIF('New P110'!$U$5:$U$104,A39,'New P110'!$AK$5:$AK$104)+SUMIF('New P110'!$V$5:$V$104,A39,'New P110'!$AL$5:$AL$104)+SUMIF('New P110'!$Y$5:$Y$104,A39,'New P110'!$AA$5:$AA$104)+SUMIF('New P110'!$AC$5:$AC$104,A39,'New P110'!$AE$5:$AE$104),0)</f>
        <v>0</v>
      </c>
      <c r="E39" s="32" t="str">
        <f t="shared" si="2"/>
        <v>Not filled</v>
      </c>
      <c r="F39" s="33" t="str">
        <f>IF(B39="","Not filled",IF(E39&lt;=0,"Empty",IF(E39&lt;Settings!$B$3,"Low","OK")))</f>
        <v>Not filled</v>
      </c>
      <c r="G39" s="15"/>
      <c r="H39" s="34" t="str">
        <f t="shared" si="3"/>
        <v/>
      </c>
    </row>
    <row r="40" spans="1:8" ht="19.5" customHeight="1" x14ac:dyDescent="0.3">
      <c r="A40" s="30" t="s">
        <v>97</v>
      </c>
      <c r="B40" s="7"/>
      <c r="C40" s="50"/>
      <c r="D40" s="31">
        <f>IFERROR(SUMIF('Old P110'!$U$5:$U$104,A40,'Old P110'!$AK$5:$AK$104)+SUMIF('Old P110'!$V$5:$V$104,A40,'Old P110'!$AL$5:$AL$104)+SUMIF('Old P110'!$Y$5:$Y$104,A40,'Old P110'!$AA$5:$AA$104)+SUMIF('Old P110'!$AC$5:$AC$104,A40,'Old P110'!$AE$5:$AE$104)+SUMIF('New P110'!$U$5:$U$104,A40,'New P110'!$AK$5:$AK$104)+SUMIF('New P110'!$V$5:$V$104,A40,'New P110'!$AL$5:$AL$104)+SUMIF('New P110'!$Y$5:$Y$104,A40,'New P110'!$AA$5:$AA$104)+SUMIF('New P110'!$AC$5:$AC$104,A40,'New P110'!$AE$5:$AE$104),0)</f>
        <v>0</v>
      </c>
      <c r="E40" s="32" t="str">
        <f t="shared" si="2"/>
        <v>Not filled</v>
      </c>
      <c r="F40" s="33" t="str">
        <f>IF(B40="","Not filled",IF(E40&lt;=0,"Empty",IF(E40&lt;Settings!$B$3,"Low","OK")))</f>
        <v>Not filled</v>
      </c>
      <c r="G40" s="15"/>
      <c r="H40" s="34" t="str">
        <f t="shared" si="3"/>
        <v/>
      </c>
    </row>
    <row r="41" spans="1:8" ht="19.5" customHeight="1" x14ac:dyDescent="0.3">
      <c r="A41" s="30" t="s">
        <v>98</v>
      </c>
      <c r="B41" s="7"/>
      <c r="C41" s="50"/>
      <c r="D41" s="31">
        <f>IFERROR(SUMIF('Old P110'!$U$5:$U$104,A41,'Old P110'!$AK$5:$AK$104)+SUMIF('Old P110'!$V$5:$V$104,A41,'Old P110'!$AL$5:$AL$104)+SUMIF('Old P110'!$Y$5:$Y$104,A41,'Old P110'!$AA$5:$AA$104)+SUMIF('Old P110'!$AC$5:$AC$104,A41,'Old P110'!$AE$5:$AE$104)+SUMIF('New P110'!$U$5:$U$104,A41,'New P110'!$AK$5:$AK$104)+SUMIF('New P110'!$V$5:$V$104,A41,'New P110'!$AL$5:$AL$104)+SUMIF('New P110'!$Y$5:$Y$104,A41,'New P110'!$AA$5:$AA$104)+SUMIF('New P110'!$AC$5:$AC$104,A41,'New P110'!$AE$5:$AE$104),0)</f>
        <v>0</v>
      </c>
      <c r="E41" s="32" t="str">
        <f t="shared" si="2"/>
        <v>Not filled</v>
      </c>
      <c r="F41" s="33" t="str">
        <f>IF(B41="","Not filled",IF(E41&lt;=0,"Empty",IF(E41&lt;Settings!$B$3,"Low","OK")))</f>
        <v>Not filled</v>
      </c>
      <c r="G41" s="15"/>
      <c r="H41" s="34" t="str">
        <f t="shared" si="3"/>
        <v/>
      </c>
    </row>
    <row r="42" spans="1:8" ht="19.5" customHeight="1" x14ac:dyDescent="0.3">
      <c r="A42" s="30" t="s">
        <v>99</v>
      </c>
      <c r="B42" s="7"/>
      <c r="C42" s="50"/>
      <c r="D42" s="31">
        <f>IFERROR(SUMIF('Old P110'!$U$5:$U$104,A42,'Old P110'!$AK$5:$AK$104)+SUMIF('Old P110'!$V$5:$V$104,A42,'Old P110'!$AL$5:$AL$104)+SUMIF('Old P110'!$Y$5:$Y$104,A42,'Old P110'!$AA$5:$AA$104)+SUMIF('Old P110'!$AC$5:$AC$104,A42,'Old P110'!$AE$5:$AE$104)+SUMIF('New P110'!$U$5:$U$104,A42,'New P110'!$AK$5:$AK$104)+SUMIF('New P110'!$V$5:$V$104,A42,'New P110'!$AL$5:$AL$104)+SUMIF('New P110'!$Y$5:$Y$104,A42,'New P110'!$AA$5:$AA$104)+SUMIF('New P110'!$AC$5:$AC$104,A42,'New P110'!$AE$5:$AE$104),0)</f>
        <v>0</v>
      </c>
      <c r="E42" s="32" t="str">
        <f t="shared" si="2"/>
        <v>Not filled</v>
      </c>
      <c r="F42" s="33" t="str">
        <f>IF(B42="","Not filled",IF(E42&lt;=0,"Empty",IF(E42&lt;Settings!$B$3,"Low","OK")))</f>
        <v>Not filled</v>
      </c>
      <c r="G42" s="15"/>
      <c r="H42" s="34" t="str">
        <f t="shared" si="3"/>
        <v/>
      </c>
    </row>
    <row r="43" spans="1:8" ht="19.5" customHeight="1" x14ac:dyDescent="0.3">
      <c r="A43" s="30" t="s">
        <v>100</v>
      </c>
      <c r="B43" s="7"/>
      <c r="C43" s="50"/>
      <c r="D43" s="31">
        <f>IFERROR(SUMIF('Old P110'!$U$5:$U$104,A43,'Old P110'!$AK$5:$AK$104)+SUMIF('Old P110'!$V$5:$V$104,A43,'Old P110'!$AL$5:$AL$104)+SUMIF('Old P110'!$Y$5:$Y$104,A43,'Old P110'!$AA$5:$AA$104)+SUMIF('Old P110'!$AC$5:$AC$104,A43,'Old P110'!$AE$5:$AE$104)+SUMIF('New P110'!$U$5:$U$104,A43,'New P110'!$AK$5:$AK$104)+SUMIF('New P110'!$V$5:$V$104,A43,'New P110'!$AL$5:$AL$104)+SUMIF('New P110'!$Y$5:$Y$104,A43,'New P110'!$AA$5:$AA$104)+SUMIF('New P110'!$AC$5:$AC$104,A43,'New P110'!$AE$5:$AE$104),0)</f>
        <v>0</v>
      </c>
      <c r="E43" s="32" t="str">
        <f t="shared" si="2"/>
        <v>Not filled</v>
      </c>
      <c r="F43" s="33" t="str">
        <f>IF(B43="","Not filled",IF(E43&lt;=0,"Empty",IF(E43&lt;Settings!$B$3,"Low","OK")))</f>
        <v>Not filled</v>
      </c>
      <c r="G43" s="15"/>
      <c r="H43" s="34" t="str">
        <f t="shared" si="3"/>
        <v/>
      </c>
    </row>
    <row r="44" spans="1:8" ht="19.5" customHeight="1" x14ac:dyDescent="0.3">
      <c r="A44" s="35" t="s">
        <v>101</v>
      </c>
      <c r="B44" s="7"/>
      <c r="C44" s="50"/>
      <c r="D44" s="31">
        <f>IFERROR(SUMIF('Old P110'!$U$5:$U$104,A44,'Old P110'!$AK$5:$AK$104)+SUMIF('Old P110'!$V$5:$V$104,A44,'Old P110'!$AL$5:$AL$104)+SUMIF('Old P110'!$Y$5:$Y$104,A44,'Old P110'!$AA$5:$AA$104)+SUMIF('Old P110'!$AC$5:$AC$104,A44,'Old P110'!$AE$5:$AE$104)+SUMIF('New P110'!$U$5:$U$104,A44,'New P110'!$AK$5:$AK$104)+SUMIF('New P110'!$V$5:$V$104,A44,'New P110'!$AL$5:$AL$104)+SUMIF('New P110'!$Y$5:$Y$104,A44,'New P110'!$AA$5:$AA$104)+SUMIF('New P110'!$AC$5:$AC$104,A44,'New P110'!$AE$5:$AE$104),0)</f>
        <v>0</v>
      </c>
      <c r="E44" s="32" t="str">
        <f t="shared" si="2"/>
        <v>Not filled</v>
      </c>
      <c r="F44" s="33" t="str">
        <f>IF(B44="","Not filled",IF(E44&lt;=0,"Empty",IF(E44&lt;Settings!$B$3,"Low","OK")))</f>
        <v>Not filled</v>
      </c>
      <c r="G44" s="15"/>
      <c r="H44" s="34" t="str">
        <f t="shared" si="3"/>
        <v/>
      </c>
    </row>
    <row r="45" spans="1:8" ht="19.5" customHeight="1" x14ac:dyDescent="0.3">
      <c r="A45" s="35" t="s">
        <v>102</v>
      </c>
      <c r="B45" s="7"/>
      <c r="C45" s="50"/>
      <c r="D45" s="31">
        <f>IFERROR(SUMIF('Old P110'!$U$5:$U$104,A45,'Old P110'!$AK$5:$AK$104)+SUMIF('Old P110'!$V$5:$V$104,A45,'Old P110'!$AL$5:$AL$104)+SUMIF('Old P110'!$Y$5:$Y$104,A45,'Old P110'!$AA$5:$AA$104)+SUMIF('Old P110'!$AC$5:$AC$104,A45,'Old P110'!$AE$5:$AE$104)+SUMIF('New P110'!$U$5:$U$104,A45,'New P110'!$AK$5:$AK$104)+SUMIF('New P110'!$V$5:$V$104,A45,'New P110'!$AL$5:$AL$104)+SUMIF('New P110'!$Y$5:$Y$104,A45,'New P110'!$AA$5:$AA$104)+SUMIF('New P110'!$AC$5:$AC$104,A45,'New P110'!$AE$5:$AE$104),0)</f>
        <v>0</v>
      </c>
      <c r="E45" s="32" t="str">
        <f t="shared" si="2"/>
        <v>Not filled</v>
      </c>
      <c r="F45" s="33" t="str">
        <f>IF(B45="","Not filled",IF(E45&lt;=0,"Empty",IF(E45&lt;Settings!$B$3,"Low","OK")))</f>
        <v>Not filled</v>
      </c>
      <c r="G45" s="15"/>
      <c r="H45" s="34" t="str">
        <f t="shared" si="3"/>
        <v/>
      </c>
    </row>
    <row r="46" spans="1:8" ht="19.5" customHeight="1" x14ac:dyDescent="0.3">
      <c r="A46" s="35" t="s">
        <v>103</v>
      </c>
      <c r="B46" s="7"/>
      <c r="C46" s="50"/>
      <c r="D46" s="31">
        <f>IFERROR(SUMIF('Old P110'!$U$5:$U$104,A46,'Old P110'!$AK$5:$AK$104)+SUMIF('Old P110'!$V$5:$V$104,A46,'Old P110'!$AL$5:$AL$104)+SUMIF('Old P110'!$Y$5:$Y$104,A46,'Old P110'!$AA$5:$AA$104)+SUMIF('Old P110'!$AC$5:$AC$104,A46,'Old P110'!$AE$5:$AE$104)+SUMIF('New P110'!$U$5:$U$104,A46,'New P110'!$AK$5:$AK$104)+SUMIF('New P110'!$V$5:$V$104,A46,'New P110'!$AL$5:$AL$104)+SUMIF('New P110'!$Y$5:$Y$104,A46,'New P110'!$AA$5:$AA$104)+SUMIF('New P110'!$AC$5:$AC$104,A46,'New P110'!$AE$5:$AE$104),0)</f>
        <v>0</v>
      </c>
      <c r="E46" s="32" t="str">
        <f t="shared" si="2"/>
        <v>Not filled</v>
      </c>
      <c r="F46" s="33" t="str">
        <f>IF(B46="","Not filled",IF(E46&lt;=0,"Empty",IF(E46&lt;Settings!$B$3,"Low","OK")))</f>
        <v>Not filled</v>
      </c>
      <c r="G46" s="15"/>
      <c r="H46" s="34" t="str">
        <f t="shared" si="3"/>
        <v/>
      </c>
    </row>
    <row r="47" spans="1:8" ht="19.5" customHeight="1" x14ac:dyDescent="0.3">
      <c r="A47" s="35" t="s">
        <v>104</v>
      </c>
      <c r="B47" s="7"/>
      <c r="C47" s="50"/>
      <c r="D47" s="31">
        <f>IFERROR(SUMIF('Old P110'!$U$5:$U$104,A47,'Old P110'!$AK$5:$AK$104)+SUMIF('Old P110'!$V$5:$V$104,A47,'Old P110'!$AL$5:$AL$104)+SUMIF('Old P110'!$Y$5:$Y$104,A47,'Old P110'!$AA$5:$AA$104)+SUMIF('Old P110'!$AC$5:$AC$104,A47,'Old P110'!$AE$5:$AE$104)+SUMIF('New P110'!$U$5:$U$104,A47,'New P110'!$AK$5:$AK$104)+SUMIF('New P110'!$V$5:$V$104,A47,'New P110'!$AL$5:$AL$104)+SUMIF('New P110'!$Y$5:$Y$104,A47,'New P110'!$AA$5:$AA$104)+SUMIF('New P110'!$AC$5:$AC$104,A47,'New P110'!$AE$5:$AE$104),0)</f>
        <v>0</v>
      </c>
      <c r="E47" s="32" t="str">
        <f t="shared" si="2"/>
        <v>Not filled</v>
      </c>
      <c r="F47" s="33" t="str">
        <f>IF(B47="","Not filled",IF(E47&lt;=0,"Empty",IF(E47&lt;Settings!$B$3,"Low","OK")))</f>
        <v>Not filled</v>
      </c>
      <c r="G47" s="15"/>
      <c r="H47" s="34" t="str">
        <f t="shared" si="3"/>
        <v/>
      </c>
    </row>
    <row r="48" spans="1:8" ht="19.5" customHeight="1" x14ac:dyDescent="0.3">
      <c r="A48" s="35" t="s">
        <v>105</v>
      </c>
      <c r="B48" s="7"/>
      <c r="C48" s="50"/>
      <c r="D48" s="31">
        <f>IFERROR(SUMIF('Old P110'!$U$5:$U$104,A48,'Old P110'!$AK$5:$AK$104)+SUMIF('Old P110'!$V$5:$V$104,A48,'Old P110'!$AL$5:$AL$104)+SUMIF('Old P110'!$Y$5:$Y$104,A48,'Old P110'!$AA$5:$AA$104)+SUMIF('Old P110'!$AC$5:$AC$104,A48,'Old P110'!$AE$5:$AE$104)+SUMIF('New P110'!$U$5:$U$104,A48,'New P110'!$AK$5:$AK$104)+SUMIF('New P110'!$V$5:$V$104,A48,'New P110'!$AL$5:$AL$104)+SUMIF('New P110'!$Y$5:$Y$104,A48,'New P110'!$AA$5:$AA$104)+SUMIF('New P110'!$AC$5:$AC$104,A48,'New P110'!$AE$5:$AE$104),0)</f>
        <v>0</v>
      </c>
      <c r="E48" s="32" t="str">
        <f t="shared" si="2"/>
        <v>Not filled</v>
      </c>
      <c r="F48" s="33" t="str">
        <f>IF(B48="","Not filled",IF(E48&lt;=0,"Empty",IF(E48&lt;Settings!$B$3,"Low","OK")))</f>
        <v>Not filled</v>
      </c>
      <c r="G48" s="15"/>
      <c r="H48" s="34" t="str">
        <f t="shared" si="3"/>
        <v/>
      </c>
    </row>
    <row r="49" spans="1:8" ht="19.5" customHeight="1" x14ac:dyDescent="0.3">
      <c r="A49" s="35" t="s">
        <v>106</v>
      </c>
      <c r="B49" s="7"/>
      <c r="C49" s="50"/>
      <c r="D49" s="31">
        <f>IFERROR(SUMIF('Old P110'!$U$5:$U$104,A49,'Old P110'!$AK$5:$AK$104)+SUMIF('Old P110'!$V$5:$V$104,A49,'Old P110'!$AL$5:$AL$104)+SUMIF('Old P110'!$Y$5:$Y$104,A49,'Old P110'!$AA$5:$AA$104)+SUMIF('Old P110'!$AC$5:$AC$104,A49,'Old P110'!$AE$5:$AE$104)+SUMIF('New P110'!$U$5:$U$104,A49,'New P110'!$AK$5:$AK$104)+SUMIF('New P110'!$V$5:$V$104,A49,'New P110'!$AL$5:$AL$104)+SUMIF('New P110'!$Y$5:$Y$104,A49,'New P110'!$AA$5:$AA$104)+SUMIF('New P110'!$AC$5:$AC$104,A49,'New P110'!$AE$5:$AE$104),0)</f>
        <v>0</v>
      </c>
      <c r="E49" s="32" t="str">
        <f t="shared" si="2"/>
        <v>Not filled</v>
      </c>
      <c r="F49" s="33" t="str">
        <f>IF(B49="","Not filled",IF(E49&lt;=0,"Empty",IF(E49&lt;Settings!$B$3,"Low","OK")))</f>
        <v>Not filled</v>
      </c>
      <c r="G49" s="15"/>
      <c r="H49" s="34" t="str">
        <f t="shared" si="3"/>
        <v/>
      </c>
    </row>
    <row r="50" spans="1:8" ht="19.5" customHeight="1" x14ac:dyDescent="0.3">
      <c r="A50" s="35" t="s">
        <v>107</v>
      </c>
      <c r="B50" s="7"/>
      <c r="C50" s="50"/>
      <c r="D50" s="31">
        <f>IFERROR(SUMIF('Old P110'!$U$5:$U$104,A50,'Old P110'!$AK$5:$AK$104)+SUMIF('Old P110'!$V$5:$V$104,A50,'Old P110'!$AL$5:$AL$104)+SUMIF('Old P110'!$Y$5:$Y$104,A50,'Old P110'!$AA$5:$AA$104)+SUMIF('Old P110'!$AC$5:$AC$104,A50,'Old P110'!$AE$5:$AE$104)+SUMIF('New P110'!$U$5:$U$104,A50,'New P110'!$AK$5:$AK$104)+SUMIF('New P110'!$V$5:$V$104,A50,'New P110'!$AL$5:$AL$104)+SUMIF('New P110'!$Y$5:$Y$104,A50,'New P110'!$AA$5:$AA$104)+SUMIF('New P110'!$AC$5:$AC$104,A50,'New P110'!$AE$5:$AE$104),0)</f>
        <v>0</v>
      </c>
      <c r="E50" s="32" t="str">
        <f t="shared" si="2"/>
        <v>Not filled</v>
      </c>
      <c r="F50" s="33" t="str">
        <f>IF(B50="","Not filled",IF(E50&lt;=0,"Empty",IF(E50&lt;Settings!$B$3,"Low","OK")))</f>
        <v>Not filled</v>
      </c>
      <c r="G50" s="15"/>
      <c r="H50" s="34" t="str">
        <f t="shared" si="3"/>
        <v/>
      </c>
    </row>
    <row r="51" spans="1:8" ht="19.5" customHeight="1" x14ac:dyDescent="0.3">
      <c r="A51" s="35" t="s">
        <v>108</v>
      </c>
      <c r="B51" s="7"/>
      <c r="C51" s="50"/>
      <c r="D51" s="31">
        <f>IFERROR(SUMIF('Old P110'!$U$5:$U$104,A51,'Old P110'!$AK$5:$AK$104)+SUMIF('Old P110'!$V$5:$V$104,A51,'Old P110'!$AL$5:$AL$104)+SUMIF('Old P110'!$Y$5:$Y$104,A51,'Old P110'!$AA$5:$AA$104)+SUMIF('Old P110'!$AC$5:$AC$104,A51,'Old P110'!$AE$5:$AE$104)+SUMIF('New P110'!$U$5:$U$104,A51,'New P110'!$AK$5:$AK$104)+SUMIF('New P110'!$V$5:$V$104,A51,'New P110'!$AL$5:$AL$104)+SUMIF('New P110'!$Y$5:$Y$104,A51,'New P110'!$AA$5:$AA$104)+SUMIF('New P110'!$AC$5:$AC$104,A51,'New P110'!$AE$5:$AE$104),0)</f>
        <v>0</v>
      </c>
      <c r="E51" s="32" t="str">
        <f t="shared" si="2"/>
        <v>Not filled</v>
      </c>
      <c r="F51" s="33" t="str">
        <f>IF(B51="","Not filled",IF(E51&lt;=0,"Empty",IF(E51&lt;Settings!$B$3,"Low","OK")))</f>
        <v>Not filled</v>
      </c>
      <c r="G51" s="15"/>
      <c r="H51" s="34" t="str">
        <f t="shared" si="3"/>
        <v/>
      </c>
    </row>
    <row r="52" spans="1:8" ht="19.5" customHeight="1" x14ac:dyDescent="0.3">
      <c r="A52" s="30" t="s">
        <v>109</v>
      </c>
      <c r="B52" s="7"/>
      <c r="C52" s="50"/>
      <c r="D52" s="31">
        <f>IFERROR(SUMIF('Old P110'!$U$5:$U$104,A52,'Old P110'!$AK$5:$AK$104)+SUMIF('Old P110'!$V$5:$V$104,A52,'Old P110'!$AL$5:$AL$104)+SUMIF('Old P110'!$Y$5:$Y$104,A52,'Old P110'!$AA$5:$AA$104)+SUMIF('Old P110'!$AC$5:$AC$104,A52,'Old P110'!$AE$5:$AE$104)+SUMIF('New P110'!$U$5:$U$104,A52,'New P110'!$AK$5:$AK$104)+SUMIF('New P110'!$V$5:$V$104,A52,'New P110'!$AL$5:$AL$104)+SUMIF('New P110'!$Y$5:$Y$104,A52,'New P110'!$AA$5:$AA$104)+SUMIF('New P110'!$AC$5:$AC$104,A52,'New P110'!$AE$5:$AE$104),0)</f>
        <v>0</v>
      </c>
      <c r="E52" s="32" t="str">
        <f t="shared" si="2"/>
        <v>Not filled</v>
      </c>
      <c r="F52" s="33" t="str">
        <f>IF(B52="","Not filled",IF(E52&lt;=0,"Empty",IF(E52&lt;Settings!$B$3,"Low","OK")))</f>
        <v>Not filled</v>
      </c>
      <c r="G52" s="15"/>
      <c r="H52" s="34" t="str">
        <f t="shared" si="3"/>
        <v/>
      </c>
    </row>
    <row r="53" spans="1:8" ht="19.5" customHeight="1" x14ac:dyDescent="0.3">
      <c r="A53" s="30" t="s">
        <v>110</v>
      </c>
      <c r="B53" s="7"/>
      <c r="C53" s="50"/>
      <c r="D53" s="31">
        <f>IFERROR(SUMIF('Old P110'!$U$5:$U$104,A53,'Old P110'!$AK$5:$AK$104)+SUMIF('Old P110'!$V$5:$V$104,A53,'Old P110'!$AL$5:$AL$104)+SUMIF('Old P110'!$Y$5:$Y$104,A53,'Old P110'!$AA$5:$AA$104)+SUMIF('Old P110'!$AC$5:$AC$104,A53,'Old P110'!$AE$5:$AE$104)+SUMIF('New P110'!$U$5:$U$104,A53,'New P110'!$AK$5:$AK$104)+SUMIF('New P110'!$V$5:$V$104,A53,'New P110'!$AL$5:$AL$104)+SUMIF('New P110'!$Y$5:$Y$104,A53,'New P110'!$AA$5:$AA$104)+SUMIF('New P110'!$AC$5:$AC$104,A53,'New P110'!$AE$5:$AE$104),0)</f>
        <v>0</v>
      </c>
      <c r="E53" s="32" t="str">
        <f t="shared" si="2"/>
        <v>Not filled</v>
      </c>
      <c r="F53" s="33" t="str">
        <f>IF(B53="","Not filled",IF(E53&lt;=0,"Empty",IF(E53&lt;Settings!$B$3,"Low","OK")))</f>
        <v>Not filled</v>
      </c>
      <c r="G53" s="15"/>
      <c r="H53" s="34" t="str">
        <f t="shared" si="3"/>
        <v/>
      </c>
    </row>
    <row r="54" spans="1:8" ht="19.5" customHeight="1" x14ac:dyDescent="0.3">
      <c r="A54" s="30" t="s">
        <v>111</v>
      </c>
      <c r="B54" s="7"/>
      <c r="C54" s="50"/>
      <c r="D54" s="31">
        <f>IFERROR(SUMIF('Old P110'!$U$5:$U$104,A54,'Old P110'!$AK$5:$AK$104)+SUMIF('Old P110'!$V$5:$V$104,A54,'Old P110'!$AL$5:$AL$104)+SUMIF('Old P110'!$Y$5:$Y$104,A54,'Old P110'!$AA$5:$AA$104)+SUMIF('Old P110'!$AC$5:$AC$104,A54,'Old P110'!$AE$5:$AE$104)+SUMIF('New P110'!$U$5:$U$104,A54,'New P110'!$AK$5:$AK$104)+SUMIF('New P110'!$V$5:$V$104,A54,'New P110'!$AL$5:$AL$104)+SUMIF('New P110'!$Y$5:$Y$104,A54,'New P110'!$AA$5:$AA$104)+SUMIF('New P110'!$AC$5:$AC$104,A54,'New P110'!$AE$5:$AE$104),0)</f>
        <v>0</v>
      </c>
      <c r="E54" s="32" t="str">
        <f t="shared" si="2"/>
        <v>Not filled</v>
      </c>
      <c r="F54" s="33" t="str">
        <f>IF(B54="","Not filled",IF(E54&lt;=0,"Empty",IF(E54&lt;Settings!$B$3,"Low","OK")))</f>
        <v>Not filled</v>
      </c>
      <c r="G54" s="15"/>
      <c r="H54" s="34" t="str">
        <f t="shared" si="3"/>
        <v/>
      </c>
    </row>
    <row r="55" spans="1:8" ht="19.5" customHeight="1" x14ac:dyDescent="0.3">
      <c r="A55" s="30" t="s">
        <v>112</v>
      </c>
      <c r="B55" s="7"/>
      <c r="C55" s="50"/>
      <c r="D55" s="31">
        <f>IFERROR(SUMIF('Old P110'!$U$5:$U$104,A55,'Old P110'!$AK$5:$AK$104)+SUMIF('Old P110'!$V$5:$V$104,A55,'Old P110'!$AL$5:$AL$104)+SUMIF('Old P110'!$Y$5:$Y$104,A55,'Old P110'!$AA$5:$AA$104)+SUMIF('Old P110'!$AC$5:$AC$104,A55,'Old P110'!$AE$5:$AE$104)+SUMIF('New P110'!$U$5:$U$104,A55,'New P110'!$AK$5:$AK$104)+SUMIF('New P110'!$V$5:$V$104,A55,'New P110'!$AL$5:$AL$104)+SUMIF('New P110'!$Y$5:$Y$104,A55,'New P110'!$AA$5:$AA$104)+SUMIF('New P110'!$AC$5:$AC$104,A55,'New P110'!$AE$5:$AE$104),0)</f>
        <v>0</v>
      </c>
      <c r="E55" s="32" t="str">
        <f t="shared" si="2"/>
        <v>Not filled</v>
      </c>
      <c r="F55" s="33" t="str">
        <f>IF(B55="","Not filled",IF(E55&lt;=0,"Empty",IF(E55&lt;Settings!$B$3,"Low","OK")))</f>
        <v>Not filled</v>
      </c>
      <c r="G55" s="15"/>
      <c r="H55" s="34" t="str">
        <f t="shared" si="3"/>
        <v/>
      </c>
    </row>
    <row r="56" spans="1:8" ht="19.5" customHeight="1" x14ac:dyDescent="0.3">
      <c r="A56" s="30" t="s">
        <v>113</v>
      </c>
      <c r="B56" s="7"/>
      <c r="C56" s="50"/>
      <c r="D56" s="31">
        <f>IFERROR(SUMIF('Old P110'!$U$5:$U$104,A56,'Old P110'!$AK$5:$AK$104)+SUMIF('Old P110'!$V$5:$V$104,A56,'Old P110'!$AL$5:$AL$104)+SUMIF('Old P110'!$Y$5:$Y$104,A56,'Old P110'!$AA$5:$AA$104)+SUMIF('Old P110'!$AC$5:$AC$104,A56,'Old P110'!$AE$5:$AE$104)+SUMIF('New P110'!$U$5:$U$104,A56,'New P110'!$AK$5:$AK$104)+SUMIF('New P110'!$V$5:$V$104,A56,'New P110'!$AL$5:$AL$104)+SUMIF('New P110'!$Y$5:$Y$104,A56,'New P110'!$AA$5:$AA$104)+SUMIF('New P110'!$AC$5:$AC$104,A56,'New P110'!$AE$5:$AE$104),0)</f>
        <v>0</v>
      </c>
      <c r="E56" s="32" t="str">
        <f t="shared" si="2"/>
        <v>Not filled</v>
      </c>
      <c r="F56" s="33" t="str">
        <f>IF(B56="","Not filled",IF(E56&lt;=0,"Empty",IF(E56&lt;Settings!$B$3,"Low","OK")))</f>
        <v>Not filled</v>
      </c>
      <c r="G56" s="15"/>
      <c r="H56" s="34" t="str">
        <f t="shared" si="3"/>
        <v/>
      </c>
    </row>
    <row r="57" spans="1:8" ht="19.5" customHeight="1" x14ac:dyDescent="0.3">
      <c r="A57" s="30" t="s">
        <v>114</v>
      </c>
      <c r="B57" s="7"/>
      <c r="C57" s="50"/>
      <c r="D57" s="31">
        <f>IFERROR(SUMIF('Old P110'!$U$5:$U$104,A57,'Old P110'!$AK$5:$AK$104)+SUMIF('Old P110'!$V$5:$V$104,A57,'Old P110'!$AL$5:$AL$104)+SUMIF('Old P110'!$Y$5:$Y$104,A57,'Old P110'!$AA$5:$AA$104)+SUMIF('Old P110'!$AC$5:$AC$104,A57,'Old P110'!$AE$5:$AE$104)+SUMIF('New P110'!$U$5:$U$104,A57,'New P110'!$AK$5:$AK$104)+SUMIF('New P110'!$V$5:$V$104,A57,'New P110'!$AL$5:$AL$104)+SUMIF('New P110'!$Y$5:$Y$104,A57,'New P110'!$AA$5:$AA$104)+SUMIF('New P110'!$AC$5:$AC$104,A57,'New P110'!$AE$5:$AE$104),0)</f>
        <v>0</v>
      </c>
      <c r="E57" s="32" t="str">
        <f t="shared" si="2"/>
        <v>Not filled</v>
      </c>
      <c r="F57" s="33" t="str">
        <f>IF(B57="","Not filled",IF(E57&lt;=0,"Empty",IF(E57&lt;Settings!$B$3,"Low","OK")))</f>
        <v>Not filled</v>
      </c>
      <c r="G57" s="15"/>
      <c r="H57" s="34" t="str">
        <f t="shared" si="3"/>
        <v/>
      </c>
    </row>
    <row r="58" spans="1:8" ht="19.5" customHeight="1" x14ac:dyDescent="0.3">
      <c r="A58" s="30" t="s">
        <v>115</v>
      </c>
      <c r="B58" s="7"/>
      <c r="C58" s="50"/>
      <c r="D58" s="31">
        <f>IFERROR(SUMIF('Old P110'!$U$5:$U$104,A58,'Old P110'!$AK$5:$AK$104)+SUMIF('Old P110'!$V$5:$V$104,A58,'Old P110'!$AL$5:$AL$104)+SUMIF('Old P110'!$Y$5:$Y$104,A58,'Old P110'!$AA$5:$AA$104)+SUMIF('Old P110'!$AC$5:$AC$104,A58,'Old P110'!$AE$5:$AE$104)+SUMIF('New P110'!$U$5:$U$104,A58,'New P110'!$AK$5:$AK$104)+SUMIF('New P110'!$V$5:$V$104,A58,'New P110'!$AL$5:$AL$104)+SUMIF('New P110'!$Y$5:$Y$104,A58,'New P110'!$AA$5:$AA$104)+SUMIF('New P110'!$AC$5:$AC$104,A58,'New P110'!$AE$5:$AE$104),0)</f>
        <v>0</v>
      </c>
      <c r="E58" s="32" t="str">
        <f t="shared" si="2"/>
        <v>Not filled</v>
      </c>
      <c r="F58" s="33" t="str">
        <f>IF(B58="","Not filled",IF(E58&lt;=0,"Empty",IF(E58&lt;Settings!$B$3,"Low","OK")))</f>
        <v>Not filled</v>
      </c>
      <c r="G58" s="15"/>
      <c r="H58" s="34" t="str">
        <f t="shared" si="3"/>
        <v/>
      </c>
    </row>
    <row r="59" spans="1:8" ht="19.5" customHeight="1" x14ac:dyDescent="0.3">
      <c r="A59" s="30" t="s">
        <v>116</v>
      </c>
      <c r="B59" s="7"/>
      <c r="C59" s="50"/>
      <c r="D59" s="31">
        <f>IFERROR(SUMIF('Old P110'!$U$5:$U$104,A59,'Old P110'!$AK$5:$AK$104)+SUMIF('Old P110'!$V$5:$V$104,A59,'Old P110'!$AL$5:$AL$104)+SUMIF('Old P110'!$Y$5:$Y$104,A59,'Old P110'!$AA$5:$AA$104)+SUMIF('Old P110'!$AC$5:$AC$104,A59,'Old P110'!$AE$5:$AE$104)+SUMIF('New P110'!$U$5:$U$104,A59,'New P110'!$AK$5:$AK$104)+SUMIF('New P110'!$V$5:$V$104,A59,'New P110'!$AL$5:$AL$104)+SUMIF('New P110'!$Y$5:$Y$104,A59,'New P110'!$AA$5:$AA$104)+SUMIF('New P110'!$AC$5:$AC$104,A59,'New P110'!$AE$5:$AE$104),0)</f>
        <v>0</v>
      </c>
      <c r="E59" s="32" t="str">
        <f t="shared" si="2"/>
        <v>Not filled</v>
      </c>
      <c r="F59" s="33" t="str">
        <f>IF(B59="","Not filled",IF(E59&lt;=0,"Empty",IF(E59&lt;Settings!$B$3,"Low","OK")))</f>
        <v>Not filled</v>
      </c>
      <c r="G59" s="15"/>
      <c r="H59" s="34" t="str">
        <f t="shared" si="3"/>
        <v/>
      </c>
    </row>
    <row r="60" spans="1:8" ht="19.5" customHeight="1" x14ac:dyDescent="0.3">
      <c r="A60" s="35" t="s">
        <v>117</v>
      </c>
      <c r="B60" s="7"/>
      <c r="C60" s="50"/>
      <c r="D60" s="31">
        <f>IFERROR(SUMIF('Old P110'!$U$5:$U$104,A60,'Old P110'!$AK$5:$AK$104)+SUMIF('Old P110'!$V$5:$V$104,A60,'Old P110'!$AL$5:$AL$104)+SUMIF('Old P110'!$Y$5:$Y$104,A60,'Old P110'!$AA$5:$AA$104)+SUMIF('Old P110'!$AC$5:$AC$104,A60,'Old P110'!$AE$5:$AE$104)+SUMIF('New P110'!$U$5:$U$104,A60,'New P110'!$AK$5:$AK$104)+SUMIF('New P110'!$V$5:$V$104,A60,'New P110'!$AL$5:$AL$104)+SUMIF('New P110'!$Y$5:$Y$104,A60,'New P110'!$AA$5:$AA$104)+SUMIF('New P110'!$AC$5:$AC$104,A60,'New P110'!$AE$5:$AE$104),0)</f>
        <v>0</v>
      </c>
      <c r="E60" s="32" t="str">
        <f t="shared" si="2"/>
        <v>Not filled</v>
      </c>
      <c r="F60" s="33" t="str">
        <f>IF(B60="","Not filled",IF(E60&lt;=0,"Empty",IF(E60&lt;Settings!$B$3,"Low","OK")))</f>
        <v>Not filled</v>
      </c>
      <c r="G60" s="15"/>
      <c r="H60" s="34" t="str">
        <f t="shared" si="3"/>
        <v/>
      </c>
    </row>
    <row r="61" spans="1:8" ht="19.5" customHeight="1" x14ac:dyDescent="0.3">
      <c r="A61" s="35" t="s">
        <v>118</v>
      </c>
      <c r="B61" s="7"/>
      <c r="C61" s="50"/>
      <c r="D61" s="31">
        <f>IFERROR(SUMIF('Old P110'!$U$5:$U$104,A61,'Old P110'!$AK$5:$AK$104)+SUMIF('Old P110'!$V$5:$V$104,A61,'Old P110'!$AL$5:$AL$104)+SUMIF('Old P110'!$Y$5:$Y$104,A61,'Old P110'!$AA$5:$AA$104)+SUMIF('Old P110'!$AC$5:$AC$104,A61,'Old P110'!$AE$5:$AE$104)+SUMIF('New P110'!$U$5:$U$104,A61,'New P110'!$AK$5:$AK$104)+SUMIF('New P110'!$V$5:$V$104,A61,'New P110'!$AL$5:$AL$104)+SUMIF('New P110'!$Y$5:$Y$104,A61,'New P110'!$AA$5:$AA$104)+SUMIF('New P110'!$AC$5:$AC$104,A61,'New P110'!$AE$5:$AE$104),0)</f>
        <v>0</v>
      </c>
      <c r="E61" s="32" t="str">
        <f t="shared" si="2"/>
        <v>Not filled</v>
      </c>
      <c r="F61" s="33" t="str">
        <f>IF(B61="","Not filled",IF(E61&lt;=0,"Empty",IF(E61&lt;Settings!$B$3,"Low","OK")))</f>
        <v>Not filled</v>
      </c>
      <c r="G61" s="15"/>
      <c r="H61" s="34" t="str">
        <f t="shared" si="3"/>
        <v/>
      </c>
    </row>
    <row r="62" spans="1:8" ht="19.5" customHeight="1" x14ac:dyDescent="0.3">
      <c r="A62" s="35" t="s">
        <v>119</v>
      </c>
      <c r="B62" s="7"/>
      <c r="C62" s="50"/>
      <c r="D62" s="31">
        <f>IFERROR(SUMIF('Old P110'!$U$5:$U$104,A62,'Old P110'!$AK$5:$AK$104)+SUMIF('Old P110'!$V$5:$V$104,A62,'Old P110'!$AL$5:$AL$104)+SUMIF('Old P110'!$Y$5:$Y$104,A62,'Old P110'!$AA$5:$AA$104)+SUMIF('Old P110'!$AC$5:$AC$104,A62,'Old P110'!$AE$5:$AE$104)+SUMIF('New P110'!$U$5:$U$104,A62,'New P110'!$AK$5:$AK$104)+SUMIF('New P110'!$V$5:$V$104,A62,'New P110'!$AL$5:$AL$104)+SUMIF('New P110'!$Y$5:$Y$104,A62,'New P110'!$AA$5:$AA$104)+SUMIF('New P110'!$AC$5:$AC$104,A62,'New P110'!$AE$5:$AE$104),0)</f>
        <v>0</v>
      </c>
      <c r="E62" s="32" t="str">
        <f t="shared" si="2"/>
        <v>Not filled</v>
      </c>
      <c r="F62" s="33" t="str">
        <f>IF(B62="","Not filled",IF(E62&lt;=0,"Empty",IF(E62&lt;Settings!$B$3,"Low","OK")))</f>
        <v>Not filled</v>
      </c>
      <c r="G62" s="15"/>
      <c r="H62" s="34" t="str">
        <f t="shared" si="3"/>
        <v/>
      </c>
    </row>
    <row r="63" spans="1:8" ht="19.5" customHeight="1" x14ac:dyDescent="0.3">
      <c r="A63" s="35" t="s">
        <v>120</v>
      </c>
      <c r="B63" s="7"/>
      <c r="C63" s="50"/>
      <c r="D63" s="31">
        <f>IFERROR(SUMIF('Old P110'!$U$5:$U$104,A63,'Old P110'!$AK$5:$AK$104)+SUMIF('Old P110'!$V$5:$V$104,A63,'Old P110'!$AL$5:$AL$104)+SUMIF('Old P110'!$Y$5:$Y$104,A63,'Old P110'!$AA$5:$AA$104)+SUMIF('Old P110'!$AC$5:$AC$104,A63,'Old P110'!$AE$5:$AE$104)+SUMIF('New P110'!$U$5:$U$104,A63,'New P110'!$AK$5:$AK$104)+SUMIF('New P110'!$V$5:$V$104,A63,'New P110'!$AL$5:$AL$104)+SUMIF('New P110'!$Y$5:$Y$104,A63,'New P110'!$AA$5:$AA$104)+SUMIF('New P110'!$AC$5:$AC$104,A63,'New P110'!$AE$5:$AE$104),0)</f>
        <v>0</v>
      </c>
      <c r="E63" s="32" t="str">
        <f t="shared" si="2"/>
        <v>Not filled</v>
      </c>
      <c r="F63" s="33" t="str">
        <f>IF(B63="","Not filled",IF(E63&lt;=0,"Empty",IF(E63&lt;Settings!$B$3,"Low","OK")))</f>
        <v>Not filled</v>
      </c>
      <c r="G63" s="15"/>
      <c r="H63" s="34" t="str">
        <f t="shared" si="3"/>
        <v/>
      </c>
    </row>
    <row r="64" spans="1:8" ht="19.5" customHeight="1" x14ac:dyDescent="0.3">
      <c r="A64" s="35" t="s">
        <v>121</v>
      </c>
      <c r="B64" s="7"/>
      <c r="C64" s="50"/>
      <c r="D64" s="31">
        <f>IFERROR(SUMIF('Old P110'!$U$5:$U$104,A64,'Old P110'!$AK$5:$AK$104)+SUMIF('Old P110'!$V$5:$V$104,A64,'Old P110'!$AL$5:$AL$104)+SUMIF('Old P110'!$Y$5:$Y$104,A64,'Old P110'!$AA$5:$AA$104)+SUMIF('Old P110'!$AC$5:$AC$104,A64,'Old P110'!$AE$5:$AE$104)+SUMIF('New P110'!$U$5:$U$104,A64,'New P110'!$AK$5:$AK$104)+SUMIF('New P110'!$V$5:$V$104,A64,'New P110'!$AL$5:$AL$104)+SUMIF('New P110'!$Y$5:$Y$104,A64,'New P110'!$AA$5:$AA$104)+SUMIF('New P110'!$AC$5:$AC$104,A64,'New P110'!$AE$5:$AE$104),0)</f>
        <v>0</v>
      </c>
      <c r="E64" s="32" t="str">
        <f t="shared" si="2"/>
        <v>Not filled</v>
      </c>
      <c r="F64" s="33" t="str">
        <f>IF(B64="","Not filled",IF(E64&lt;=0,"Empty",IF(E64&lt;Settings!$B$3,"Low","OK")))</f>
        <v>Not filled</v>
      </c>
      <c r="G64" s="15"/>
      <c r="H64" s="34" t="str">
        <f t="shared" si="3"/>
        <v/>
      </c>
    </row>
    <row r="65" spans="1:8" ht="19.5" customHeight="1" x14ac:dyDescent="0.3">
      <c r="A65" s="35" t="s">
        <v>122</v>
      </c>
      <c r="B65" s="7"/>
      <c r="C65" s="50"/>
      <c r="D65" s="31">
        <f>IFERROR(SUMIF('Old P110'!$U$5:$U$104,A65,'Old P110'!$AK$5:$AK$104)+SUMIF('Old P110'!$V$5:$V$104,A65,'Old P110'!$AL$5:$AL$104)+SUMIF('Old P110'!$Y$5:$Y$104,A65,'Old P110'!$AA$5:$AA$104)+SUMIF('Old P110'!$AC$5:$AC$104,A65,'Old P110'!$AE$5:$AE$104)+SUMIF('New P110'!$U$5:$U$104,A65,'New P110'!$AK$5:$AK$104)+SUMIF('New P110'!$V$5:$V$104,A65,'New P110'!$AL$5:$AL$104)+SUMIF('New P110'!$Y$5:$Y$104,A65,'New P110'!$AA$5:$AA$104)+SUMIF('New P110'!$AC$5:$AC$104,A65,'New P110'!$AE$5:$AE$104),0)</f>
        <v>0</v>
      </c>
      <c r="E65" s="32" t="str">
        <f t="shared" si="2"/>
        <v>Not filled</v>
      </c>
      <c r="F65" s="33" t="str">
        <f>IF(B65="","Not filled",IF(E65&lt;=0,"Empty",IF(E65&lt;Settings!$B$3,"Low","OK")))</f>
        <v>Not filled</v>
      </c>
      <c r="G65" s="15"/>
      <c r="H65" s="34" t="str">
        <f t="shared" si="3"/>
        <v/>
      </c>
    </row>
    <row r="66" spans="1:8" ht="19.5" customHeight="1" x14ac:dyDescent="0.3">
      <c r="A66" s="35" t="s">
        <v>123</v>
      </c>
      <c r="B66" s="7"/>
      <c r="C66" s="50"/>
      <c r="D66" s="31">
        <f>IFERROR(SUMIF('Old P110'!$U$5:$U$104,A66,'Old P110'!$AK$5:$AK$104)+SUMIF('Old P110'!$V$5:$V$104,A66,'Old P110'!$AL$5:$AL$104)+SUMIF('Old P110'!$Y$5:$Y$104,A66,'Old P110'!$AA$5:$AA$104)+SUMIF('Old P110'!$AC$5:$AC$104,A66,'Old P110'!$AE$5:$AE$104)+SUMIF('New P110'!$U$5:$U$104,A66,'New P110'!$AK$5:$AK$104)+SUMIF('New P110'!$V$5:$V$104,A66,'New P110'!$AL$5:$AL$104)+SUMIF('New P110'!$Y$5:$Y$104,A66,'New P110'!$AA$5:$AA$104)+SUMIF('New P110'!$AC$5:$AC$104,A66,'New P110'!$AE$5:$AE$104),0)</f>
        <v>0</v>
      </c>
      <c r="E66" s="32" t="str">
        <f t="shared" si="2"/>
        <v>Not filled</v>
      </c>
      <c r="F66" s="33" t="str">
        <f>IF(B66="","Not filled",IF(E66&lt;=0,"Empty",IF(E66&lt;Settings!$B$3,"Low","OK")))</f>
        <v>Not filled</v>
      </c>
      <c r="G66" s="15"/>
      <c r="H66" s="34" t="str">
        <f t="shared" si="3"/>
        <v/>
      </c>
    </row>
    <row r="67" spans="1:8" ht="19.5" customHeight="1" x14ac:dyDescent="0.3">
      <c r="A67" s="35" t="s">
        <v>124</v>
      </c>
      <c r="B67" s="7"/>
      <c r="C67" s="50"/>
      <c r="D67" s="31">
        <f>IFERROR(SUMIF('Old P110'!$U$5:$U$104,A67,'Old P110'!$AK$5:$AK$104)+SUMIF('Old P110'!$V$5:$V$104,A67,'Old P110'!$AL$5:$AL$104)+SUMIF('Old P110'!$Y$5:$Y$104,A67,'Old P110'!$AA$5:$AA$104)+SUMIF('Old P110'!$AC$5:$AC$104,A67,'Old P110'!$AE$5:$AE$104)+SUMIF('New P110'!$U$5:$U$104,A67,'New P110'!$AK$5:$AK$104)+SUMIF('New P110'!$V$5:$V$104,A67,'New P110'!$AL$5:$AL$104)+SUMIF('New P110'!$Y$5:$Y$104,A67,'New P110'!$AA$5:$AA$104)+SUMIF('New P110'!$AC$5:$AC$104,A67,'New P110'!$AE$5:$AE$104),0)</f>
        <v>0</v>
      </c>
      <c r="E67" s="32" t="str">
        <f t="shared" si="2"/>
        <v>Not filled</v>
      </c>
      <c r="F67" s="33" t="str">
        <f>IF(B67="","Not filled",IF(E67&lt;=0,"Empty",IF(E67&lt;Settings!$B$3,"Low","OK")))</f>
        <v>Not filled</v>
      </c>
      <c r="G67" s="15"/>
      <c r="H67" s="34" t="str">
        <f t="shared" si="3"/>
        <v/>
      </c>
    </row>
    <row r="68" spans="1:8" ht="19.5" customHeight="1" x14ac:dyDescent="0.3">
      <c r="A68" s="30" t="s">
        <v>125</v>
      </c>
      <c r="B68" s="7"/>
      <c r="C68" s="50"/>
      <c r="D68" s="31">
        <f>IFERROR(SUMIF('Old P110'!$U$5:$U$104,A68,'Old P110'!$AK$5:$AK$104)+SUMIF('Old P110'!$V$5:$V$104,A68,'Old P110'!$AL$5:$AL$104)+SUMIF('Old P110'!$Y$5:$Y$104,A68,'Old P110'!$AA$5:$AA$104)+SUMIF('Old P110'!$AC$5:$AC$104,A68,'Old P110'!$AE$5:$AE$104)+SUMIF('New P110'!$U$5:$U$104,A68,'New P110'!$AK$5:$AK$104)+SUMIF('New P110'!$V$5:$V$104,A68,'New P110'!$AL$5:$AL$104)+SUMIF('New P110'!$Y$5:$Y$104,A68,'New P110'!$AA$5:$AA$104)+SUMIF('New P110'!$AC$5:$AC$104,A68,'New P110'!$AE$5:$AE$104),0)</f>
        <v>0</v>
      </c>
      <c r="E68" s="32" t="str">
        <f t="shared" ref="E68:E75" si="4">IFERROR(IF(B68="","Not filled",B68-D68),"Not filled")</f>
        <v>Not filled</v>
      </c>
      <c r="F68" s="33" t="str">
        <f>IF(B68="","Not filled",IF(E68&lt;=0,"Empty",IF(E68&lt;Settings!$B$3,"Low","OK")))</f>
        <v>Not filled</v>
      </c>
      <c r="G68" s="15"/>
      <c r="H68" s="34" t="str">
        <f t="shared" ref="H68:H75" si="5">IF(C68="","",A68&amp;TEXT(C68,"yyyymmdd"))</f>
        <v/>
      </c>
    </row>
    <row r="69" spans="1:8" ht="19.5" customHeight="1" x14ac:dyDescent="0.3">
      <c r="A69" s="30" t="s">
        <v>126</v>
      </c>
      <c r="B69" s="7"/>
      <c r="C69" s="50"/>
      <c r="D69" s="31">
        <f>IFERROR(SUMIF('Old P110'!$U$5:$U$104,A69,'Old P110'!$AK$5:$AK$104)+SUMIF('Old P110'!$V$5:$V$104,A69,'Old P110'!$AL$5:$AL$104)+SUMIF('Old P110'!$Y$5:$Y$104,A69,'Old P110'!$AA$5:$AA$104)+SUMIF('Old P110'!$AC$5:$AC$104,A69,'Old P110'!$AE$5:$AE$104)+SUMIF('New P110'!$U$5:$U$104,A69,'New P110'!$AK$5:$AK$104)+SUMIF('New P110'!$V$5:$V$104,A69,'New P110'!$AL$5:$AL$104)+SUMIF('New P110'!$Y$5:$Y$104,A69,'New P110'!$AA$5:$AA$104)+SUMIF('New P110'!$AC$5:$AC$104,A69,'New P110'!$AE$5:$AE$104),0)</f>
        <v>0</v>
      </c>
      <c r="E69" s="32" t="str">
        <f t="shared" si="4"/>
        <v>Not filled</v>
      </c>
      <c r="F69" s="33" t="str">
        <f>IF(B69="","Not filled",IF(E69&lt;=0,"Empty",IF(E69&lt;Settings!$B$3,"Low","OK")))</f>
        <v>Not filled</v>
      </c>
      <c r="G69" s="15"/>
      <c r="H69" s="34" t="str">
        <f t="shared" si="5"/>
        <v/>
      </c>
    </row>
    <row r="70" spans="1:8" ht="19.5" customHeight="1" x14ac:dyDescent="0.3">
      <c r="A70" s="30" t="s">
        <v>127</v>
      </c>
      <c r="B70" s="7"/>
      <c r="C70" s="50"/>
      <c r="D70" s="31">
        <f>IFERROR(SUMIF('Old P110'!$U$5:$U$104,A70,'Old P110'!$AK$5:$AK$104)+SUMIF('Old P110'!$V$5:$V$104,A70,'Old P110'!$AL$5:$AL$104)+SUMIF('Old P110'!$Y$5:$Y$104,A70,'Old P110'!$AA$5:$AA$104)+SUMIF('Old P110'!$AC$5:$AC$104,A70,'Old P110'!$AE$5:$AE$104)+SUMIF('New P110'!$U$5:$U$104,A70,'New P110'!$AK$5:$AK$104)+SUMIF('New P110'!$V$5:$V$104,A70,'New P110'!$AL$5:$AL$104)+SUMIF('New P110'!$Y$5:$Y$104,A70,'New P110'!$AA$5:$AA$104)+SUMIF('New P110'!$AC$5:$AC$104,A70,'New P110'!$AE$5:$AE$104),0)</f>
        <v>0</v>
      </c>
      <c r="E70" s="32" t="str">
        <f t="shared" si="4"/>
        <v>Not filled</v>
      </c>
      <c r="F70" s="33" t="str">
        <f>IF(B70="","Not filled",IF(E70&lt;=0,"Empty",IF(E70&lt;Settings!$B$3,"Low","OK")))</f>
        <v>Not filled</v>
      </c>
      <c r="G70" s="15"/>
      <c r="H70" s="34" t="str">
        <f t="shared" si="5"/>
        <v/>
      </c>
    </row>
    <row r="71" spans="1:8" ht="19.5" customHeight="1" x14ac:dyDescent="0.3">
      <c r="A71" s="30" t="s">
        <v>128</v>
      </c>
      <c r="B71" s="7"/>
      <c r="C71" s="50"/>
      <c r="D71" s="31">
        <f>IFERROR(SUMIF('Old P110'!$U$5:$U$104,A71,'Old P110'!$AK$5:$AK$104)+SUMIF('Old P110'!$V$5:$V$104,A71,'Old P110'!$AL$5:$AL$104)+SUMIF('Old P110'!$Y$5:$Y$104,A71,'Old P110'!$AA$5:$AA$104)+SUMIF('Old P110'!$AC$5:$AC$104,A71,'Old P110'!$AE$5:$AE$104)+SUMIF('New P110'!$U$5:$U$104,A71,'New P110'!$AK$5:$AK$104)+SUMIF('New P110'!$V$5:$V$104,A71,'New P110'!$AL$5:$AL$104)+SUMIF('New P110'!$Y$5:$Y$104,A71,'New P110'!$AA$5:$AA$104)+SUMIF('New P110'!$AC$5:$AC$104,A71,'New P110'!$AE$5:$AE$104),0)</f>
        <v>0</v>
      </c>
      <c r="E71" s="32" t="str">
        <f t="shared" si="4"/>
        <v>Not filled</v>
      </c>
      <c r="F71" s="33" t="str">
        <f>IF(B71="","Not filled",IF(E71&lt;=0,"Empty",IF(E71&lt;Settings!$B$3,"Low","OK")))</f>
        <v>Not filled</v>
      </c>
      <c r="G71" s="15"/>
      <c r="H71" s="34" t="str">
        <f t="shared" si="5"/>
        <v/>
      </c>
    </row>
    <row r="72" spans="1:8" ht="19.5" customHeight="1" x14ac:dyDescent="0.3">
      <c r="A72" s="30" t="s">
        <v>129</v>
      </c>
      <c r="B72" s="7"/>
      <c r="C72" s="50"/>
      <c r="D72" s="31">
        <f>IFERROR(SUMIF('Old P110'!$U$5:$U$104,A72,'Old P110'!$AK$5:$AK$104)+SUMIF('Old P110'!$V$5:$V$104,A72,'Old P110'!$AL$5:$AL$104)+SUMIF('Old P110'!$Y$5:$Y$104,A72,'Old P110'!$AA$5:$AA$104)+SUMIF('Old P110'!$AC$5:$AC$104,A72,'Old P110'!$AE$5:$AE$104)+SUMIF('New P110'!$U$5:$U$104,A72,'New P110'!$AK$5:$AK$104)+SUMIF('New P110'!$V$5:$V$104,A72,'New P110'!$AL$5:$AL$104)+SUMIF('New P110'!$Y$5:$Y$104,A72,'New P110'!$AA$5:$AA$104)+SUMIF('New P110'!$AC$5:$AC$104,A72,'New P110'!$AE$5:$AE$104),0)</f>
        <v>0</v>
      </c>
      <c r="E72" s="32" t="str">
        <f t="shared" si="4"/>
        <v>Not filled</v>
      </c>
      <c r="F72" s="33" t="str">
        <f>IF(B72="","Not filled",IF(E72&lt;=0,"Empty",IF(E72&lt;Settings!$B$3,"Low","OK")))</f>
        <v>Not filled</v>
      </c>
      <c r="G72" s="15"/>
      <c r="H72" s="34" t="str">
        <f t="shared" si="5"/>
        <v/>
      </c>
    </row>
    <row r="73" spans="1:8" ht="19.5" customHeight="1" x14ac:dyDescent="0.3">
      <c r="A73" s="30" t="s">
        <v>130</v>
      </c>
      <c r="B73" s="7"/>
      <c r="C73" s="50"/>
      <c r="D73" s="31">
        <f>IFERROR(SUMIF('Old P110'!$U$5:$U$104,A73,'Old P110'!$AK$5:$AK$104)+SUMIF('Old P110'!$V$5:$V$104,A73,'Old P110'!$AL$5:$AL$104)+SUMIF('Old P110'!$Y$5:$Y$104,A73,'Old P110'!$AA$5:$AA$104)+SUMIF('Old P110'!$AC$5:$AC$104,A73,'Old P110'!$AE$5:$AE$104)+SUMIF('New P110'!$U$5:$U$104,A73,'New P110'!$AK$5:$AK$104)+SUMIF('New P110'!$V$5:$V$104,A73,'New P110'!$AL$5:$AL$104)+SUMIF('New P110'!$Y$5:$Y$104,A73,'New P110'!$AA$5:$AA$104)+SUMIF('New P110'!$AC$5:$AC$104,A73,'New P110'!$AE$5:$AE$104),0)</f>
        <v>0</v>
      </c>
      <c r="E73" s="32" t="str">
        <f t="shared" si="4"/>
        <v>Not filled</v>
      </c>
      <c r="F73" s="33" t="str">
        <f>IF(B73="","Not filled",IF(E73&lt;=0,"Empty",IF(E73&lt;Settings!$B$3,"Low","OK")))</f>
        <v>Not filled</v>
      </c>
      <c r="G73" s="15"/>
      <c r="H73" s="34" t="str">
        <f t="shared" si="5"/>
        <v/>
      </c>
    </row>
    <row r="74" spans="1:8" ht="19.5" customHeight="1" x14ac:dyDescent="0.3">
      <c r="A74" s="30" t="s">
        <v>131</v>
      </c>
      <c r="B74" s="7"/>
      <c r="C74" s="50"/>
      <c r="D74" s="31">
        <f>IFERROR(SUMIF('Old P110'!$U$5:$U$104,A74,'Old P110'!$AK$5:$AK$104)+SUMIF('Old P110'!$V$5:$V$104,A74,'Old P110'!$AL$5:$AL$104)+SUMIF('Old P110'!$Y$5:$Y$104,A74,'Old P110'!$AA$5:$AA$104)+SUMIF('Old P110'!$AC$5:$AC$104,A74,'Old P110'!$AE$5:$AE$104)+SUMIF('New P110'!$U$5:$U$104,A74,'New P110'!$AK$5:$AK$104)+SUMIF('New P110'!$V$5:$V$104,A74,'New P110'!$AL$5:$AL$104)+SUMIF('New P110'!$Y$5:$Y$104,A74,'New P110'!$AA$5:$AA$104)+SUMIF('New P110'!$AC$5:$AC$104,A74,'New P110'!$AE$5:$AE$104),0)</f>
        <v>0</v>
      </c>
      <c r="E74" s="32" t="str">
        <f t="shared" si="4"/>
        <v>Not filled</v>
      </c>
      <c r="F74" s="33" t="str">
        <f>IF(B74="","Not filled",IF(E74&lt;=0,"Empty",IF(E74&lt;Settings!$B$3,"Low","OK")))</f>
        <v>Not filled</v>
      </c>
      <c r="G74" s="15"/>
      <c r="H74" s="34" t="str">
        <f t="shared" si="5"/>
        <v/>
      </c>
    </row>
    <row r="75" spans="1:8" ht="19.5" customHeight="1" x14ac:dyDescent="0.3">
      <c r="A75" s="30" t="s">
        <v>132</v>
      </c>
      <c r="B75" s="7"/>
      <c r="C75" s="50"/>
      <c r="D75" s="31">
        <f>IFERROR(SUMIF('Old P110'!$U$5:$U$104,A75,'Old P110'!$AK$5:$AK$104)+SUMIF('Old P110'!$V$5:$V$104,A75,'Old P110'!$AL$5:$AL$104)+SUMIF('Old P110'!$Y$5:$Y$104,A75,'Old P110'!$AA$5:$AA$104)+SUMIF('Old P110'!$AC$5:$AC$104,A75,'Old P110'!$AE$5:$AE$104)+SUMIF('New P110'!$U$5:$U$104,A75,'New P110'!$AK$5:$AK$104)+SUMIF('New P110'!$V$5:$V$104,A75,'New P110'!$AL$5:$AL$104)+SUMIF('New P110'!$Y$5:$Y$104,A75,'New P110'!$AA$5:$AA$104)+SUMIF('New P110'!$AC$5:$AC$104,A75,'New P110'!$AE$5:$AE$104),0)</f>
        <v>0</v>
      </c>
      <c r="E75" s="32" t="str">
        <f t="shared" si="4"/>
        <v>Not filled</v>
      </c>
      <c r="F75" s="33" t="str">
        <f>IF(B75="","Not filled",IF(E75&lt;=0,"Empty",IF(E75&lt;Settings!$B$3,"Low","OK")))</f>
        <v>Not filled</v>
      </c>
      <c r="G75" s="15"/>
      <c r="H75" s="34" t="str">
        <f t="shared" si="5"/>
        <v/>
      </c>
    </row>
    <row r="77" spans="1:8" ht="15" customHeight="1" x14ac:dyDescent="0.3">
      <c r="A77" s="69" t="s">
        <v>133</v>
      </c>
      <c r="B77" s="69"/>
      <c r="C77" s="69"/>
      <c r="D77" s="69"/>
      <c r="E77" s="69"/>
      <c r="F77" s="69"/>
      <c r="G77" s="69"/>
      <c r="H77" s="69"/>
    </row>
    <row r="78" spans="1:8" ht="15.75" customHeight="1" x14ac:dyDescent="0.3">
      <c r="A78" s="36"/>
      <c r="B78" s="67" t="s">
        <v>134</v>
      </c>
      <c r="C78" s="67"/>
      <c r="D78" s="67"/>
      <c r="E78" s="67"/>
      <c r="F78" s="67"/>
      <c r="G78" s="67"/>
      <c r="H78" s="67"/>
    </row>
    <row r="79" spans="1:8" ht="15.75" customHeight="1" x14ac:dyDescent="0.3">
      <c r="A79" s="37"/>
      <c r="B79" s="67" t="s">
        <v>135</v>
      </c>
      <c r="C79" s="67"/>
      <c r="D79" s="67"/>
      <c r="E79" s="67"/>
      <c r="F79" s="67"/>
      <c r="G79" s="67"/>
      <c r="H79" s="67"/>
    </row>
    <row r="80" spans="1:8" ht="15.75" customHeight="1" x14ac:dyDescent="0.3">
      <c r="A80" s="38"/>
      <c r="B80" s="67" t="s">
        <v>136</v>
      </c>
      <c r="C80" s="67"/>
      <c r="D80" s="67"/>
      <c r="E80" s="67"/>
      <c r="F80" s="67"/>
      <c r="G80" s="67"/>
      <c r="H80" s="67"/>
    </row>
    <row r="81" spans="1:8" ht="15.75" customHeight="1" x14ac:dyDescent="0.3">
      <c r="A81" s="39"/>
      <c r="B81" s="67" t="s">
        <v>137</v>
      </c>
      <c r="C81" s="67"/>
      <c r="D81" s="67"/>
      <c r="E81" s="67"/>
      <c r="F81" s="67"/>
      <c r="G81" s="67"/>
      <c r="H81" s="67"/>
    </row>
  </sheetData>
  <mergeCells count="7">
    <mergeCell ref="B80:H80"/>
    <mergeCell ref="B81:H81"/>
    <mergeCell ref="A1:H1"/>
    <mergeCell ref="B2:C2"/>
    <mergeCell ref="A77:H77"/>
    <mergeCell ref="B78:H78"/>
    <mergeCell ref="B79:H7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="130" zoomScaleNormal="130" workbookViewId="0">
      <selection activeCell="H23" sqref="H23"/>
    </sheetView>
  </sheetViews>
  <sheetFormatPr defaultColWidth="8.6640625" defaultRowHeight="14.4" x14ac:dyDescent="0.3"/>
  <cols>
    <col min="1" max="1" width="26" customWidth="1"/>
    <col min="2" max="4" width="16" customWidth="1"/>
    <col min="5" max="5" width="3.109375" customWidth="1"/>
    <col min="6" max="6" width="16" hidden="1" customWidth="1"/>
  </cols>
  <sheetData>
    <row r="1" spans="1:6" ht="27.75" customHeight="1" x14ac:dyDescent="0.3">
      <c r="A1" s="70" t="s">
        <v>138</v>
      </c>
      <c r="B1" s="70"/>
      <c r="C1" s="70"/>
      <c r="D1" s="70"/>
      <c r="E1" s="70"/>
      <c r="F1" s="70"/>
    </row>
    <row r="2" spans="1:6" x14ac:dyDescent="0.3">
      <c r="A2" s="71" t="s">
        <v>139</v>
      </c>
      <c r="B2" s="71"/>
      <c r="C2" s="71"/>
      <c r="D2" s="71"/>
      <c r="E2" s="71"/>
      <c r="F2" s="71"/>
    </row>
    <row r="3" spans="1:6" x14ac:dyDescent="0.3">
      <c r="A3" s="46"/>
      <c r="B3" s="46"/>
      <c r="C3" s="46"/>
      <c r="D3" s="46"/>
      <c r="E3" s="46"/>
      <c r="F3" s="46"/>
    </row>
    <row r="4" spans="1:6" ht="25.5" customHeight="1" x14ac:dyDescent="0.3">
      <c r="A4" s="72" t="s">
        <v>140</v>
      </c>
      <c r="B4" s="72"/>
      <c r="C4" s="72"/>
      <c r="D4" s="72"/>
      <c r="E4" s="72"/>
      <c r="F4" s="72"/>
    </row>
    <row r="5" spans="1:6" ht="21.75" customHeight="1" x14ac:dyDescent="0.3">
      <c r="A5" s="35" t="s">
        <v>141</v>
      </c>
      <c r="B5" s="73" t="str">
        <f>IFERROR(LOOKUP(2,1/('Old P110'!$A$5:$A$104&lt;&gt;""),'Old P110'!$A$5:$A$104),"—")</f>
        <v>B-2792(3rd)</v>
      </c>
      <c r="C5" s="73"/>
      <c r="D5" s="73"/>
      <c r="E5" s="73"/>
      <c r="F5" s="73"/>
    </row>
    <row r="6" spans="1:6" ht="21.75" customHeight="1" x14ac:dyDescent="0.3">
      <c r="A6" s="35" t="s">
        <v>142</v>
      </c>
      <c r="B6" s="74">
        <f>IFERROR(LOOKUP(2,1/('Old P110'!$A$5:$A$104&lt;&gt;""),'Old P110'!$B$5:$B$104),"—")</f>
        <v>46309</v>
      </c>
      <c r="C6" s="74"/>
      <c r="D6" s="74"/>
      <c r="E6" s="74"/>
      <c r="F6" s="74"/>
    </row>
    <row r="7" spans="1:6" ht="21.75" customHeight="1" x14ac:dyDescent="0.3">
      <c r="A7" s="35" t="s">
        <v>143</v>
      </c>
      <c r="B7" s="75" t="str">
        <f>IFERROR(LOOKUP(2,1/('Old P110'!$A$5:$A$104&lt;&gt;""),'Old P110'!$I$5:$I$104),"—")</f>
        <v/>
      </c>
      <c r="C7" s="75"/>
      <c r="D7" s="75"/>
      <c r="E7" s="75"/>
      <c r="F7" s="75"/>
    </row>
    <row r="8" spans="1:6" ht="21.75" customHeight="1" x14ac:dyDescent="0.3">
      <c r="A8" s="47" t="s">
        <v>144</v>
      </c>
      <c r="B8" s="76" t="str">
        <f>IF(IF(IFERROR(LOOKUP(2,1/('Old P110'!$A$5:$A$104&lt;&gt;""),'Old P110'!$AA$5:$AA$104),0)&gt;0,IFERROR(", "&amp;VLOOKUP(LOOKUP(2,1/('Old P110'!$A$5:$A$104&lt;&gt;""),'Old P110'!$Y$5:$Y$104),'Bucket Status'!$A$4:$H$75,8,FALSE()),""),"")&amp;IF(IFERROR(LOOKUP(2,1/('Old P110'!$A$5:$A$104&lt;&gt;""),'Old P110'!$AE$5:$AE$104),0)&gt;0,IFERROR(", "&amp;VLOOKUP(LOOKUP(2,1/('Old P110'!$A$5:$A$104&lt;&gt;""),'Old P110'!$AC$5:$AC$104),'Bucket Status'!$A$4:$H$75,8,FALSE()),""),"")&amp;IF(IFERROR(LOOKUP(2,1/('Old P110'!$A$5:$A$104&lt;&gt;""),'Old P110'!$AK$5:$AK$104),0)&gt;0,IFERROR(", "&amp;VLOOKUP(LOOKUP(2,1/('Old P110'!$A$5:$A$104&lt;&gt;""),'Old P110'!$U$5:$U$104),'Bucket Status'!$A$4:$H$75,8,FALSE()),""),"")&amp;IF(IFERROR(LOOKUP(2,1/('Old P110'!$A$5:$A$104&lt;&gt;""),'Old P110'!$AL$5:$AL$104),0)&gt;0,IFERROR(", "&amp;VLOOKUP(LOOKUP(2,1/('Old P110'!$A$5:$A$104&lt;&gt;""),'Old P110'!$V$5:$V$104),'Bucket Status'!$A$4:$H$75,8,FALSE()),""),"")="","—",MID(IF(IFERROR(LOOKUP(2,1/('Old P110'!$A$5:$A$104&lt;&gt;""),'Old P110'!$AA$5:$AA$104),0)&gt;0,IFERROR(", "&amp;VLOOKUP(LOOKUP(2,1/('Old P110'!$A$5:$A$104&lt;&gt;""),'Old P110'!$Y$5:$Y$104),'Bucket Status'!$A$4:$H$75,8,FALSE()),""),"")&amp;IF(IFERROR(LOOKUP(2,1/('Old P110'!$A$5:$A$104&lt;&gt;""),'Old P110'!$AE$5:$AE$104),0)&gt;0,IFERROR(", "&amp;VLOOKUP(LOOKUP(2,1/('Old P110'!$A$5:$A$104&lt;&gt;""),'Old P110'!$AC$5:$AC$104),'Bucket Status'!$A$4:$H$75,8,FALSE()),""),"")&amp;IF(IFERROR(LOOKUP(2,1/('Old P110'!$A$5:$A$104&lt;&gt;""),'Old P110'!$AK$5:$AK$104),0)&gt;0,IFERROR(", "&amp;VLOOKUP(LOOKUP(2,1/('Old P110'!$A$5:$A$104&lt;&gt;""),'Old P110'!$U$5:$U$104),'Bucket Status'!$A$4:$H$75,8,FALSE()),""),"")&amp;IF(IFERROR(LOOKUP(2,1/('Old P110'!$A$5:$A$104&lt;&gt;""),'Old P110'!$AL$5:$AL$104),0)&gt;0,IFERROR(", "&amp;VLOOKUP(LOOKUP(2,1/('Old P110'!$A$5:$A$104&lt;&gt;""),'Old P110'!$V$5:$V$104),'Bucket Status'!$A$4:$H$75,8,FALSE()),""),""),3,999))</f>
        <v>M4C-20261009, M4B-20261009</v>
      </c>
      <c r="C8" s="76"/>
      <c r="D8" s="76"/>
      <c r="E8" s="76"/>
      <c r="F8" s="76"/>
    </row>
    <row r="9" spans="1:6" ht="21.75" customHeight="1" x14ac:dyDescent="0.3">
      <c r="A9" s="48" t="s">
        <v>145</v>
      </c>
      <c r="B9" s="77" t="str">
        <f>IFERROR(IF(LOOKUP(2,1/('Old P110'!$A$5:$A$104&lt;&gt;""),'Old P110'!$U$5:$U$104)="","— none —",TEXT(MAX(0,IFERROR(VLOOKUP(LOOKUP(2,1/('Old P110'!$A$5:$A$104&lt;&gt;""),'Old P110'!$U$5:$U$104),'Bucket Status'!$A$4:$E$75,5,FALSE()),0)),"0.000")&amp;" kg "&amp;LOOKUP(2,1/('Old P110'!$A$5:$A$104&lt;&gt;""),'Old P110'!$U$5:$U$104)),"— none —")</f>
        <v>4.980 kg M4C-</v>
      </c>
      <c r="C9" s="77"/>
      <c r="D9" s="77"/>
      <c r="E9" s="77"/>
      <c r="F9" s="77"/>
    </row>
    <row r="10" spans="1:6" ht="21.75" customHeight="1" x14ac:dyDescent="0.3">
      <c r="A10" s="49" t="s">
        <v>146</v>
      </c>
      <c r="B10" s="78" t="str">
        <f>IFERROR(IF(LOOKUP(2,1/('Old P110'!$A$5:$A$104&lt;&gt;""),'Old P110'!$V$5:$V$104)="","— none —",TEXT(MAX(0,IFERROR(VLOOKUP(LOOKUP(2,1/('Old P110'!$A$5:$A$104&lt;&gt;""),'Old P110'!$V$5:$V$104),'Bucket Status'!$A$4:$E$75,5,FALSE()),0)),"0.000")&amp;" kg "&amp;LOOKUP(2,1/('Old P110'!$A$5:$A$104&lt;&gt;""),'Old P110'!$V$5:$V$104)),"— none —")</f>
        <v>3.680 kg M4B-</v>
      </c>
      <c r="C10" s="78"/>
      <c r="D10" s="78"/>
      <c r="E10" s="78"/>
      <c r="F10" s="78"/>
    </row>
    <row r="11" spans="1:6" ht="21.75" customHeight="1" x14ac:dyDescent="0.3">
      <c r="A11" s="49" t="s">
        <v>147</v>
      </c>
      <c r="B11" s="79">
        <f>IFERROR(IF(LOOKUP(2,1/('Old P110'!$A$5:$A$104&lt;&gt;""),'Old P110'!$U$5:$U$104)="",0,IFERROR(VLOOKUP(LOOKUP(2,1/('Old P110'!$A$5:$A$104&lt;&gt;""),'Old P110'!$U$5:$U$104),'Bucket Status'!$A$4:$E$75,5,FALSE()),0))+IF(LOOKUP(2,1/('Old P110'!$A$5:$A$104&lt;&gt;""),'Old P110'!$V$5:$V$104)="",0,IFERROR(VLOOKUP(LOOKUP(2,1/('Old P110'!$A$5:$A$104&lt;&gt;""),'Old P110'!$V$5:$V$104),'Bucket Status'!$A$4:$E$75,5,FALSE()),0))+MAX(0,(IFERROR(LOOKUP(2,1/('Old P110'!$A$5:$A$104&lt;&gt;""),'Old P110'!$AB$5:$AB$104),0)+IFERROR(LOOKUP(2,1/('Old P110'!$A$5:$A$104&lt;&gt;""),'Old P110'!$AF$5:$AF$104),0))),"—")</f>
        <v>8.6599999999999984</v>
      </c>
      <c r="C11" s="79"/>
      <c r="D11" s="79"/>
      <c r="E11" s="79"/>
      <c r="F11" s="79"/>
    </row>
    <row r="12" spans="1:6" x14ac:dyDescent="0.3">
      <c r="A12" s="46"/>
      <c r="B12" s="46"/>
      <c r="C12" s="46"/>
      <c r="D12" s="46"/>
      <c r="E12" s="46"/>
      <c r="F12" s="46"/>
    </row>
    <row r="13" spans="1:6" x14ac:dyDescent="0.3">
      <c r="A13" s="46"/>
      <c r="B13" s="46"/>
      <c r="C13" s="46"/>
      <c r="D13" s="46"/>
      <c r="E13" s="46"/>
      <c r="F13" s="46"/>
    </row>
    <row r="14" spans="1:6" ht="25.5" customHeight="1" x14ac:dyDescent="0.3">
      <c r="A14" s="80" t="s">
        <v>148</v>
      </c>
      <c r="B14" s="80"/>
      <c r="C14" s="80"/>
      <c r="D14" s="80"/>
      <c r="E14" s="80"/>
      <c r="F14" s="80"/>
    </row>
    <row r="15" spans="1:6" ht="21.75" customHeight="1" x14ac:dyDescent="0.3">
      <c r="A15" s="35" t="s">
        <v>141</v>
      </c>
      <c r="B15" s="73" t="str">
        <f>IFERROR(LOOKUP(2,1/('New P110'!$A$5:$A$104&lt;&gt;""),'New P110'!$A$5:$A$104),"—")</f>
        <v>B-2796</v>
      </c>
      <c r="C15" s="73"/>
      <c r="D15" s="73"/>
      <c r="E15" s="73"/>
      <c r="F15" s="73"/>
    </row>
    <row r="16" spans="1:6" ht="21.75" customHeight="1" x14ac:dyDescent="0.3">
      <c r="A16" s="35" t="s">
        <v>142</v>
      </c>
      <c r="B16" s="74">
        <f>IFERROR(LOOKUP(2,1/('New P110'!$A$5:$A$104&lt;&gt;""),'New P110'!$B$5:$B$104),"—")</f>
        <v>46309</v>
      </c>
      <c r="C16" s="74"/>
      <c r="D16" s="74"/>
      <c r="E16" s="74"/>
      <c r="F16" s="74"/>
    </row>
    <row r="17" spans="1:6" ht="21.75" customHeight="1" x14ac:dyDescent="0.3">
      <c r="A17" s="35" t="s">
        <v>143</v>
      </c>
      <c r="B17" s="75">
        <f>IFERROR(LOOKUP(2,1/('New P110'!$A$5:$A$104&lt;&gt;""),'New P110'!$I$5:$I$104),"—")</f>
        <v>3.75</v>
      </c>
      <c r="C17" s="75"/>
      <c r="D17" s="75"/>
      <c r="E17" s="75"/>
      <c r="F17" s="75"/>
    </row>
    <row r="18" spans="1:6" ht="21.75" customHeight="1" x14ac:dyDescent="0.3">
      <c r="A18" s="47" t="s">
        <v>144</v>
      </c>
      <c r="B18" s="76" t="str">
        <f>IF(IF(IFERROR(LOOKUP(2,1/('New P110'!$A$5:$A$104&lt;&gt;""),'New P110'!$AA$5:$AA$104),0)&gt;0,IFERROR(", "&amp;VLOOKUP(LOOKUP(2,1/('New P110'!$A$5:$A$104&lt;&gt;""),'New P110'!$Y$5:$Y$104),'Bucket Status'!$A$4:$H$75,8,FALSE()),""),"")&amp;IF(IFERROR(LOOKUP(2,1/('New P110'!$A$5:$A$104&lt;&gt;""),'New P110'!$AE$5:$AE$104),0)&gt;0,IFERROR(", "&amp;VLOOKUP(LOOKUP(2,1/('New P110'!$A$5:$A$104&lt;&gt;""),'New P110'!$AC$5:$AC$104),'Bucket Status'!$A$4:$H$75,8,FALSE()),""),"")&amp;IF(IFERROR(LOOKUP(2,1/('New P110'!$A$5:$A$104&lt;&gt;""),'New P110'!$AK$5:$AK$104),0)&gt;0,IFERROR(", "&amp;VLOOKUP(LOOKUP(2,1/('New P110'!$A$5:$A$104&lt;&gt;""),'New P110'!$U$5:$U$104),'Bucket Status'!$A$4:$H$75,8,FALSE()),""),"")&amp;IF(IFERROR(LOOKUP(2,1/('New P110'!$A$5:$A$104&lt;&gt;""),'New P110'!$AL$5:$AL$104),0)&gt;0,IFERROR(", "&amp;VLOOKUP(LOOKUP(2,1/('New P110'!$A$5:$A$104&lt;&gt;""),'New P110'!$V$5:$V$104),'Bucket Status'!$A$4:$H$75,8,FALSE()),""),"")="","—",MID(IF(IFERROR(LOOKUP(2,1/('New P110'!$A$5:$A$104&lt;&gt;""),'New P110'!$AA$5:$AA$104),0)&gt;0,IFERROR(", "&amp;VLOOKUP(LOOKUP(2,1/('New P110'!$A$5:$A$104&lt;&gt;""),'New P110'!$Y$5:$Y$104),'Bucket Status'!$A$4:$H$75,8,FALSE()),""),"")&amp;IF(IFERROR(LOOKUP(2,1/('New P110'!$A$5:$A$104&lt;&gt;""),'New P110'!$AE$5:$AE$104),0)&gt;0,IFERROR(", "&amp;VLOOKUP(LOOKUP(2,1/('New P110'!$A$5:$A$104&lt;&gt;""),'New P110'!$AC$5:$AC$104),'Bucket Status'!$A$4:$H$75,8,FALSE()),""),"")&amp;IF(IFERROR(LOOKUP(2,1/('New P110'!$A$5:$A$104&lt;&gt;""),'New P110'!$AK$5:$AK$104),0)&gt;0,IFERROR(", "&amp;VLOOKUP(LOOKUP(2,1/('New P110'!$A$5:$A$104&lt;&gt;""),'New P110'!$U$5:$U$104),'Bucket Status'!$A$4:$H$75,8,FALSE()),""),"")&amp;IF(IFERROR(LOOKUP(2,1/('New P110'!$A$5:$A$104&lt;&gt;""),'New P110'!$AL$5:$AL$104),0)&gt;0,IFERROR(", "&amp;VLOOKUP(LOOKUP(2,1/('New P110'!$A$5:$A$104&lt;&gt;""),'New P110'!$V$5:$V$104),'Bucket Status'!$A$4:$H$75,8,FALSE()),""),""),3,999))</f>
        <v>M4E-20261009, M4F-20261009</v>
      </c>
      <c r="C18" s="76"/>
      <c r="D18" s="76"/>
      <c r="E18" s="76"/>
      <c r="F18" s="76"/>
    </row>
    <row r="19" spans="1:6" ht="21.75" customHeight="1" x14ac:dyDescent="0.3">
      <c r="A19" s="48" t="s">
        <v>145</v>
      </c>
      <c r="B19" s="77" t="str">
        <f>IFERROR(IF(LOOKUP(2,1/('New P110'!$A$5:$A$104&lt;&gt;""),'New P110'!$U$5:$U$104)="","— none —",TEXT(MAX(0,IFERROR(VLOOKUP(LOOKUP(2,1/('New P110'!$A$5:$A$104&lt;&gt;""),'New P110'!$U$5:$U$104),'Bucket Status'!$A$4:$E$75,5,FALSE()),0)),"0.000")&amp;" kg "&amp;LOOKUP(2,1/('New P110'!$A$5:$A$104&lt;&gt;""),'New P110'!$U$5:$U$104)),"— none —")</f>
        <v>0.000 kg M4E-</v>
      </c>
      <c r="C19" s="77"/>
      <c r="D19" s="77"/>
      <c r="E19" s="77"/>
      <c r="F19" s="77"/>
    </row>
    <row r="20" spans="1:6" ht="21.75" customHeight="1" x14ac:dyDescent="0.3">
      <c r="A20" s="49" t="s">
        <v>146</v>
      </c>
      <c r="B20" s="78" t="str">
        <f>IFERROR(IF(LOOKUP(2,1/('New P110'!$A$5:$A$104&lt;&gt;""),'New P110'!$V$5:$V$104)="","— none —",TEXT(MAX(0,IFERROR(VLOOKUP(LOOKUP(2,1/('New P110'!$A$5:$A$104&lt;&gt;""),'New P110'!$V$5:$V$104),'Bucket Status'!$A$4:$E$75,5,FALSE()),0)),"0.000")&amp;" kg "&amp;LOOKUP(2,1/('New P110'!$A$5:$A$104&lt;&gt;""),'New P110'!$V$5:$V$104)),"— none —")</f>
        <v>4.150 kg M4F-</v>
      </c>
      <c r="C20" s="78"/>
      <c r="D20" s="78"/>
      <c r="E20" s="78"/>
      <c r="F20" s="78"/>
    </row>
    <row r="21" spans="1:6" ht="21.75" customHeight="1" x14ac:dyDescent="0.3">
      <c r="A21" s="49" t="s">
        <v>147</v>
      </c>
      <c r="B21" s="79">
        <f>IFERROR(IF(LOOKUP(2,1/('New P110'!$A$5:$A$104&lt;&gt;""),'New P110'!$U$5:$U$104)="",0,IFERROR(VLOOKUP(LOOKUP(2,1/('New P110'!$A$5:$A$104&lt;&gt;""),'New P110'!$U$5:$U$104),'Bucket Status'!$A$4:$E$75,5,FALSE()),0))+IF(LOOKUP(2,1/('New P110'!$A$5:$A$104&lt;&gt;""),'New P110'!$V$5:$V$104)="",0,IFERROR(VLOOKUP(LOOKUP(2,1/('New P110'!$A$5:$A$104&lt;&gt;""),'New P110'!$V$5:$V$104),'Bucket Status'!$A$4:$E$75,5,FALSE()),0))+MAX(0,(IFERROR(LOOKUP(2,1/('New P110'!$A$5:$A$104&lt;&gt;""),'New P110'!$AB$5:$AB$104),0)+IFERROR(LOOKUP(2,1/('New P110'!$A$5:$A$104&lt;&gt;""),'New P110'!$AF$5:$AF$104),0))),"—")</f>
        <v>4.1500000000000004</v>
      </c>
      <c r="C21" s="79"/>
      <c r="D21" s="79"/>
      <c r="E21" s="79"/>
      <c r="F21" s="79"/>
    </row>
  </sheetData>
  <mergeCells count="18">
    <mergeCell ref="B19:F19"/>
    <mergeCell ref="B20:F20"/>
    <mergeCell ref="B21:F21"/>
    <mergeCell ref="A14:F14"/>
    <mergeCell ref="B15:F15"/>
    <mergeCell ref="B16:F16"/>
    <mergeCell ref="B17:F17"/>
    <mergeCell ref="B18:F18"/>
    <mergeCell ref="B7:F7"/>
    <mergeCell ref="B8:F8"/>
    <mergeCell ref="B9:F9"/>
    <mergeCell ref="B10:F10"/>
    <mergeCell ref="B11:F11"/>
    <mergeCell ref="A1:F1"/>
    <mergeCell ref="A2:F2"/>
    <mergeCell ref="A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Normal="100" workbookViewId="0">
      <selection activeCell="D18" sqref="D18"/>
    </sheetView>
  </sheetViews>
  <sheetFormatPr defaultColWidth="8.6640625" defaultRowHeight="14.4" x14ac:dyDescent="0.3"/>
  <cols>
    <col min="1" max="1" width="30" customWidth="1"/>
    <col min="2" max="2" width="16" customWidth="1"/>
    <col min="3" max="3" width="4" customWidth="1"/>
    <col min="4" max="4" width="64" customWidth="1"/>
  </cols>
  <sheetData>
    <row r="1" spans="1:4" ht="27.75" customHeight="1" x14ac:dyDescent="0.3">
      <c r="A1" s="81" t="s">
        <v>149</v>
      </c>
      <c r="B1" s="81"/>
      <c r="C1" s="81"/>
      <c r="D1" s="81"/>
    </row>
    <row r="3" spans="1:4" ht="25.5" customHeight="1" x14ac:dyDescent="0.3">
      <c r="A3" s="40" t="s">
        <v>150</v>
      </c>
      <c r="B3" s="41">
        <v>1</v>
      </c>
      <c r="D3" s="42" t="s">
        <v>151</v>
      </c>
    </row>
    <row r="4" spans="1:4" ht="25.5" customHeight="1" x14ac:dyDescent="0.3">
      <c r="A4" s="40" t="s">
        <v>152</v>
      </c>
      <c r="B4" s="41">
        <v>0.6</v>
      </c>
      <c r="D4" s="42" t="s">
        <v>153</v>
      </c>
    </row>
    <row r="5" spans="1:4" ht="25.5" customHeight="1" x14ac:dyDescent="0.3">
      <c r="A5" s="40" t="s">
        <v>154</v>
      </c>
      <c r="B5" s="41">
        <v>0.6</v>
      </c>
      <c r="D5" s="42" t="s">
        <v>155</v>
      </c>
    </row>
    <row r="6" spans="1:4" ht="25.5" customHeight="1" x14ac:dyDescent="0.3">
      <c r="A6" s="40" t="s">
        <v>156</v>
      </c>
      <c r="B6" s="41">
        <v>6</v>
      </c>
      <c r="D6" s="42" t="s">
        <v>157</v>
      </c>
    </row>
    <row r="8" spans="1:4" ht="19.5" customHeight="1" x14ac:dyDescent="0.3">
      <c r="A8" s="82" t="s">
        <v>158</v>
      </c>
      <c r="B8" s="82"/>
      <c r="C8" s="82"/>
      <c r="D8" s="82"/>
    </row>
    <row r="9" spans="1:4" ht="21.75" customHeight="1" x14ac:dyDescent="0.3">
      <c r="A9" s="43" t="s">
        <v>159</v>
      </c>
      <c r="B9" s="44"/>
      <c r="D9" s="45" t="s">
        <v>160</v>
      </c>
    </row>
    <row r="10" spans="1:4" ht="21.75" customHeight="1" x14ac:dyDescent="0.3">
      <c r="A10" s="43" t="s">
        <v>161</v>
      </c>
      <c r="B10" s="44"/>
      <c r="D10" s="45" t="s">
        <v>160</v>
      </c>
    </row>
  </sheetData>
  <sheetProtection password="CCE3" sheet="1"/>
  <mergeCells count="2">
    <mergeCell ref="A1:D1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Old P110</vt:lpstr>
      <vt:lpstr>New P110</vt:lpstr>
      <vt:lpstr>Bucket Status</vt:lpstr>
      <vt:lpstr>Machine Dashboard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Conrad</cp:lastModifiedBy>
  <cp:revision>0</cp:revision>
  <dcterms:created xsi:type="dcterms:W3CDTF">2026-06-03T00:56:22Z</dcterms:created>
  <dcterms:modified xsi:type="dcterms:W3CDTF">2026-10-15T18:51:55Z</dcterms:modified>
  <dc:language>en-US</dc:language>
</cp:coreProperties>
</file>